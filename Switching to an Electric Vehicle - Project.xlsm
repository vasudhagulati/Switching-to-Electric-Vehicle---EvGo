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s\Downloads\Business Analytics\Switching to an Electric Vehicle - Project\"/>
    </mc:Choice>
  </mc:AlternateContent>
  <xr:revisionPtr revIDLastSave="0" documentId="13_ncr:1_{42348E5D-FCEB-4531-8C0C-784604DB84DA}" xr6:coauthVersionLast="36" xr6:coauthVersionMax="47" xr10:uidLastSave="{00000000-0000-0000-0000-000000000000}"/>
  <bookViews>
    <workbookView xWindow="0" yWindow="0" windowWidth="23040" windowHeight="9060" activeTab="3" xr2:uid="{00000000-000D-0000-FFFF-FFFF00000000}"/>
  </bookViews>
  <sheets>
    <sheet name="EV Tool" sheetId="1" r:id="rId1"/>
    <sheet name="UserformSheet" sheetId="2" state="hidden" r:id="rId2"/>
    <sheet name="Electric Car Dataset" sheetId="3" r:id="rId3"/>
    <sheet name="Output" sheetId="6" r:id="rId4"/>
    <sheet name="BodyStyle" sheetId="4" state="hidden" r:id="rId5"/>
    <sheet name="Activities Log " sheetId="5" state="hidden" r:id="rId6"/>
  </sheets>
  <definedNames>
    <definedName name="_xlnm._FilterDatabase" localSheetId="2" hidden="1">'Electric Car Dataset'!$A$1:$W$1</definedName>
    <definedName name="BodyStyle">BodyStyle!$A$1:$A$10</definedName>
    <definedName name="Brand">'Electric Car Dataset'!$A$2:$A$30</definedName>
    <definedName name="header_newdata">'Electric Car Dataset'!$A$1</definedName>
  </definedNames>
  <calcPr calcId="191029"/>
</workbook>
</file>

<file path=xl/calcChain.xml><?xml version="1.0" encoding="utf-8"?>
<calcChain xmlns="http://schemas.openxmlformats.org/spreadsheetml/2006/main">
  <c r="W2" i="3" l="1"/>
  <c r="K104" i="3" l="1"/>
  <c r="I104" i="3"/>
  <c r="G104" i="3"/>
  <c r="W104" i="3" s="1"/>
  <c r="E104" i="3"/>
  <c r="K103" i="3"/>
  <c r="I103" i="3"/>
  <c r="G103" i="3"/>
  <c r="W103" i="3" s="1"/>
  <c r="E103" i="3"/>
  <c r="K102" i="3"/>
  <c r="I102" i="3"/>
  <c r="G102" i="3"/>
  <c r="W102" i="3" s="1"/>
  <c r="E102" i="3"/>
  <c r="K101" i="3"/>
  <c r="I101" i="3"/>
  <c r="G101" i="3"/>
  <c r="W101" i="3" s="1"/>
  <c r="E101" i="3"/>
  <c r="K100" i="3"/>
  <c r="I100" i="3"/>
  <c r="G100" i="3"/>
  <c r="W100" i="3" s="1"/>
  <c r="E100" i="3"/>
  <c r="K99" i="3"/>
  <c r="I99" i="3"/>
  <c r="G99" i="3"/>
  <c r="W99" i="3" s="1"/>
  <c r="E99" i="3"/>
  <c r="K98" i="3"/>
  <c r="I98" i="3"/>
  <c r="G98" i="3"/>
  <c r="W98" i="3" s="1"/>
  <c r="E98" i="3"/>
  <c r="K97" i="3"/>
  <c r="I97" i="3"/>
  <c r="G97" i="3"/>
  <c r="W97" i="3" s="1"/>
  <c r="E97" i="3"/>
  <c r="K96" i="3"/>
  <c r="I96" i="3"/>
  <c r="G96" i="3"/>
  <c r="W96" i="3" s="1"/>
  <c r="E96" i="3"/>
  <c r="K95" i="3"/>
  <c r="I95" i="3"/>
  <c r="G95" i="3"/>
  <c r="W95" i="3" s="1"/>
  <c r="E95" i="3"/>
  <c r="K94" i="3"/>
  <c r="I94" i="3"/>
  <c r="G94" i="3"/>
  <c r="W94" i="3" s="1"/>
  <c r="E94" i="3"/>
  <c r="K93" i="3"/>
  <c r="I93" i="3"/>
  <c r="G93" i="3"/>
  <c r="W93" i="3" s="1"/>
  <c r="E93" i="3"/>
  <c r="K92" i="3"/>
  <c r="I92" i="3"/>
  <c r="G92" i="3"/>
  <c r="W92" i="3" s="1"/>
  <c r="E92" i="3"/>
  <c r="K91" i="3"/>
  <c r="I91" i="3"/>
  <c r="G91" i="3"/>
  <c r="W91" i="3" s="1"/>
  <c r="E91" i="3"/>
  <c r="K90" i="3"/>
  <c r="I90" i="3"/>
  <c r="G90" i="3"/>
  <c r="W90" i="3" s="1"/>
  <c r="E90" i="3"/>
  <c r="K89" i="3"/>
  <c r="I89" i="3"/>
  <c r="G89" i="3"/>
  <c r="W89" i="3" s="1"/>
  <c r="E89" i="3"/>
  <c r="K88" i="3"/>
  <c r="I88" i="3"/>
  <c r="G88" i="3"/>
  <c r="W88" i="3" s="1"/>
  <c r="E88" i="3"/>
  <c r="K87" i="3"/>
  <c r="I87" i="3"/>
  <c r="G87" i="3"/>
  <c r="W87" i="3" s="1"/>
  <c r="E87" i="3"/>
  <c r="K86" i="3"/>
  <c r="I86" i="3"/>
  <c r="G86" i="3"/>
  <c r="W86" i="3" s="1"/>
  <c r="E86" i="3"/>
  <c r="K85" i="3"/>
  <c r="I85" i="3"/>
  <c r="G85" i="3"/>
  <c r="W85" i="3" s="1"/>
  <c r="E85" i="3"/>
  <c r="K84" i="3"/>
  <c r="I84" i="3"/>
  <c r="G84" i="3"/>
  <c r="W84" i="3" s="1"/>
  <c r="E84" i="3"/>
  <c r="S83" i="3"/>
  <c r="K83" i="3"/>
  <c r="I83" i="3"/>
  <c r="G83" i="3"/>
  <c r="E83" i="3"/>
  <c r="S82" i="3"/>
  <c r="K82" i="3"/>
  <c r="I82" i="3"/>
  <c r="G82" i="3"/>
  <c r="E82" i="3"/>
  <c r="S81" i="3"/>
  <c r="W81" i="3" s="1"/>
  <c r="K81" i="3"/>
  <c r="I81" i="3"/>
  <c r="G81" i="3"/>
  <c r="E81" i="3"/>
  <c r="S80" i="3"/>
  <c r="K80" i="3"/>
  <c r="I80" i="3"/>
  <c r="G80" i="3"/>
  <c r="E80" i="3"/>
  <c r="S79" i="3"/>
  <c r="K79" i="3"/>
  <c r="I79" i="3"/>
  <c r="G79" i="3"/>
  <c r="E79" i="3"/>
  <c r="S78" i="3"/>
  <c r="W78" i="3" s="1"/>
  <c r="K78" i="3"/>
  <c r="I78" i="3"/>
  <c r="G78" i="3"/>
  <c r="E78" i="3"/>
  <c r="S77" i="3"/>
  <c r="K77" i="3"/>
  <c r="I77" i="3"/>
  <c r="G77" i="3"/>
  <c r="E77" i="3"/>
  <c r="S76" i="3"/>
  <c r="W76" i="3" s="1"/>
  <c r="K76" i="3"/>
  <c r="I76" i="3"/>
  <c r="G76" i="3"/>
  <c r="E76" i="3"/>
  <c r="S75" i="3"/>
  <c r="K75" i="3"/>
  <c r="I75" i="3"/>
  <c r="G75" i="3"/>
  <c r="E75" i="3"/>
  <c r="S74" i="3"/>
  <c r="K74" i="3"/>
  <c r="I74" i="3"/>
  <c r="G74" i="3"/>
  <c r="E74" i="3"/>
  <c r="S73" i="3"/>
  <c r="W73" i="3" s="1"/>
  <c r="K73" i="3"/>
  <c r="I73" i="3"/>
  <c r="G73" i="3"/>
  <c r="E73" i="3"/>
  <c r="S72" i="3"/>
  <c r="K72" i="3"/>
  <c r="I72" i="3"/>
  <c r="G72" i="3"/>
  <c r="E72" i="3"/>
  <c r="S71" i="3"/>
  <c r="K71" i="3"/>
  <c r="I71" i="3"/>
  <c r="G71" i="3"/>
  <c r="E71" i="3"/>
  <c r="S70" i="3"/>
  <c r="W70" i="3" s="1"/>
  <c r="K70" i="3"/>
  <c r="I70" i="3"/>
  <c r="G70" i="3"/>
  <c r="E70" i="3"/>
  <c r="S69" i="3"/>
  <c r="K69" i="3"/>
  <c r="I69" i="3"/>
  <c r="G69" i="3"/>
  <c r="E69" i="3"/>
  <c r="S68" i="3"/>
  <c r="W68" i="3" s="1"/>
  <c r="K68" i="3"/>
  <c r="I68" i="3"/>
  <c r="G68" i="3"/>
  <c r="E68" i="3"/>
  <c r="S67" i="3"/>
  <c r="K67" i="3"/>
  <c r="I67" i="3"/>
  <c r="G67" i="3"/>
  <c r="E67" i="3"/>
  <c r="S66" i="3"/>
  <c r="K66" i="3"/>
  <c r="I66" i="3"/>
  <c r="G66" i="3"/>
  <c r="E66" i="3"/>
  <c r="S65" i="3"/>
  <c r="W65" i="3" s="1"/>
  <c r="K65" i="3"/>
  <c r="I65" i="3"/>
  <c r="G65" i="3"/>
  <c r="E65" i="3"/>
  <c r="S64" i="3"/>
  <c r="K64" i="3"/>
  <c r="I64" i="3"/>
  <c r="G64" i="3"/>
  <c r="E64" i="3"/>
  <c r="S63" i="3"/>
  <c r="K63" i="3"/>
  <c r="I63" i="3"/>
  <c r="G63" i="3"/>
  <c r="E63" i="3"/>
  <c r="S62" i="3"/>
  <c r="W62" i="3" s="1"/>
  <c r="K62" i="3"/>
  <c r="I62" i="3"/>
  <c r="G62" i="3"/>
  <c r="E62" i="3"/>
  <c r="S61" i="3"/>
  <c r="K61" i="3"/>
  <c r="I61" i="3"/>
  <c r="G61" i="3"/>
  <c r="E61" i="3"/>
  <c r="S60" i="3"/>
  <c r="W60" i="3" s="1"/>
  <c r="K60" i="3"/>
  <c r="I60" i="3"/>
  <c r="G60" i="3"/>
  <c r="E60" i="3"/>
  <c r="S59" i="3"/>
  <c r="K59" i="3"/>
  <c r="I59" i="3"/>
  <c r="G59" i="3"/>
  <c r="E59" i="3"/>
  <c r="S58" i="3"/>
  <c r="K58" i="3"/>
  <c r="I58" i="3"/>
  <c r="G58" i="3"/>
  <c r="E58" i="3"/>
  <c r="S57" i="3"/>
  <c r="W57" i="3" s="1"/>
  <c r="K57" i="3"/>
  <c r="I57" i="3"/>
  <c r="G57" i="3"/>
  <c r="E57" i="3"/>
  <c r="S56" i="3"/>
  <c r="K56" i="3"/>
  <c r="I56" i="3"/>
  <c r="G56" i="3"/>
  <c r="E56" i="3"/>
  <c r="S55" i="3"/>
  <c r="K55" i="3"/>
  <c r="I55" i="3"/>
  <c r="G55" i="3"/>
  <c r="E55" i="3"/>
  <c r="S54" i="3"/>
  <c r="W54" i="3" s="1"/>
  <c r="K54" i="3"/>
  <c r="I54" i="3"/>
  <c r="G54" i="3"/>
  <c r="E54" i="3"/>
  <c r="S53" i="3"/>
  <c r="K53" i="3"/>
  <c r="I53" i="3"/>
  <c r="G53" i="3"/>
  <c r="E53" i="3"/>
  <c r="S52" i="3"/>
  <c r="W52" i="3" s="1"/>
  <c r="K52" i="3"/>
  <c r="I52" i="3"/>
  <c r="G52" i="3"/>
  <c r="E52" i="3"/>
  <c r="S51" i="3"/>
  <c r="K51" i="3"/>
  <c r="I51" i="3"/>
  <c r="G51" i="3"/>
  <c r="E51" i="3"/>
  <c r="S50" i="3"/>
  <c r="K50" i="3"/>
  <c r="I50" i="3"/>
  <c r="G50" i="3"/>
  <c r="E50" i="3"/>
  <c r="S49" i="3"/>
  <c r="W49" i="3" s="1"/>
  <c r="K49" i="3"/>
  <c r="I49" i="3"/>
  <c r="G49" i="3"/>
  <c r="E49" i="3"/>
  <c r="S48" i="3"/>
  <c r="K48" i="3"/>
  <c r="I48" i="3"/>
  <c r="G48" i="3"/>
  <c r="E48" i="3"/>
  <c r="S47" i="3"/>
  <c r="W47" i="3" s="1"/>
  <c r="K47" i="3"/>
  <c r="I47" i="3"/>
  <c r="G47" i="3"/>
  <c r="E47" i="3"/>
  <c r="S46" i="3"/>
  <c r="W46" i="3" s="1"/>
  <c r="K46" i="3"/>
  <c r="I46" i="3"/>
  <c r="G46" i="3"/>
  <c r="E46" i="3"/>
  <c r="S45" i="3"/>
  <c r="K45" i="3"/>
  <c r="I45" i="3"/>
  <c r="G45" i="3"/>
  <c r="E45" i="3"/>
  <c r="S44" i="3"/>
  <c r="W44" i="3" s="1"/>
  <c r="K44" i="3"/>
  <c r="I44" i="3"/>
  <c r="G44" i="3"/>
  <c r="E44" i="3"/>
  <c r="S43" i="3"/>
  <c r="K43" i="3"/>
  <c r="I43" i="3"/>
  <c r="G43" i="3"/>
  <c r="E43" i="3"/>
  <c r="S42" i="3"/>
  <c r="K42" i="3"/>
  <c r="I42" i="3"/>
  <c r="G42" i="3"/>
  <c r="E42" i="3"/>
  <c r="S41" i="3"/>
  <c r="W41" i="3" s="1"/>
  <c r="K41" i="3"/>
  <c r="I41" i="3"/>
  <c r="G41" i="3"/>
  <c r="E41" i="3"/>
  <c r="S40" i="3"/>
  <c r="K40" i="3"/>
  <c r="I40" i="3"/>
  <c r="G40" i="3"/>
  <c r="E40" i="3"/>
  <c r="S39" i="3"/>
  <c r="W39" i="3" s="1"/>
  <c r="K39" i="3"/>
  <c r="I39" i="3"/>
  <c r="G39" i="3"/>
  <c r="E39" i="3"/>
  <c r="S38" i="3"/>
  <c r="W38" i="3" s="1"/>
  <c r="K38" i="3"/>
  <c r="I38" i="3"/>
  <c r="G38" i="3"/>
  <c r="E38" i="3"/>
  <c r="S37" i="3"/>
  <c r="K37" i="3"/>
  <c r="I37" i="3"/>
  <c r="G37" i="3"/>
  <c r="E37" i="3"/>
  <c r="S36" i="3"/>
  <c r="W36" i="3" s="1"/>
  <c r="K36" i="3"/>
  <c r="I36" i="3"/>
  <c r="G36" i="3"/>
  <c r="E36" i="3"/>
  <c r="S35" i="3"/>
  <c r="K35" i="3"/>
  <c r="I35" i="3"/>
  <c r="G35" i="3"/>
  <c r="E35" i="3"/>
  <c r="S34" i="3"/>
  <c r="K34" i="3"/>
  <c r="I34" i="3"/>
  <c r="G34" i="3"/>
  <c r="E34" i="3"/>
  <c r="S33" i="3"/>
  <c r="W33" i="3" s="1"/>
  <c r="K33" i="3"/>
  <c r="I33" i="3"/>
  <c r="G33" i="3"/>
  <c r="E33" i="3"/>
  <c r="S32" i="3"/>
  <c r="K32" i="3"/>
  <c r="I32" i="3"/>
  <c r="G32" i="3"/>
  <c r="E32" i="3"/>
  <c r="S31" i="3"/>
  <c r="W31" i="3" s="1"/>
  <c r="K31" i="3"/>
  <c r="I31" i="3"/>
  <c r="G31" i="3"/>
  <c r="E31" i="3"/>
  <c r="S30" i="3"/>
  <c r="W30" i="3" s="1"/>
  <c r="K30" i="3"/>
  <c r="I30" i="3"/>
  <c r="G30" i="3"/>
  <c r="E30" i="3"/>
  <c r="S29" i="3"/>
  <c r="K29" i="3"/>
  <c r="I29" i="3"/>
  <c r="G29" i="3"/>
  <c r="E29" i="3"/>
  <c r="S28" i="3"/>
  <c r="W28" i="3" s="1"/>
  <c r="K28" i="3"/>
  <c r="I28" i="3"/>
  <c r="G28" i="3"/>
  <c r="E28" i="3"/>
  <c r="S27" i="3"/>
  <c r="K27" i="3"/>
  <c r="I27" i="3"/>
  <c r="G27" i="3"/>
  <c r="E27" i="3"/>
  <c r="S26" i="3"/>
  <c r="K26" i="3"/>
  <c r="I26" i="3"/>
  <c r="G26" i="3"/>
  <c r="E26" i="3"/>
  <c r="S25" i="3"/>
  <c r="W25" i="3" s="1"/>
  <c r="K25" i="3"/>
  <c r="I25" i="3"/>
  <c r="G25" i="3"/>
  <c r="E25" i="3"/>
  <c r="S24" i="3"/>
  <c r="K24" i="3"/>
  <c r="I24" i="3"/>
  <c r="G24" i="3"/>
  <c r="E24" i="3"/>
  <c r="S23" i="3"/>
  <c r="W23" i="3" s="1"/>
  <c r="K23" i="3"/>
  <c r="I23" i="3"/>
  <c r="G23" i="3"/>
  <c r="E23" i="3"/>
  <c r="S22" i="3"/>
  <c r="W22" i="3" s="1"/>
  <c r="K22" i="3"/>
  <c r="I22" i="3"/>
  <c r="G22" i="3"/>
  <c r="E22" i="3"/>
  <c r="S21" i="3"/>
  <c r="K21" i="3"/>
  <c r="I21" i="3"/>
  <c r="G21" i="3"/>
  <c r="E21" i="3"/>
  <c r="S20" i="3"/>
  <c r="W20" i="3" s="1"/>
  <c r="K20" i="3"/>
  <c r="I20" i="3"/>
  <c r="G20" i="3"/>
  <c r="E20" i="3"/>
  <c r="S19" i="3"/>
  <c r="K19" i="3"/>
  <c r="I19" i="3"/>
  <c r="G19" i="3"/>
  <c r="E19" i="3"/>
  <c r="S18" i="3"/>
  <c r="K18" i="3"/>
  <c r="I18" i="3"/>
  <c r="G18" i="3"/>
  <c r="E18" i="3"/>
  <c r="S17" i="3"/>
  <c r="W17" i="3" s="1"/>
  <c r="K17" i="3"/>
  <c r="I17" i="3"/>
  <c r="G17" i="3"/>
  <c r="E17" i="3"/>
  <c r="S16" i="3"/>
  <c r="K16" i="3"/>
  <c r="I16" i="3"/>
  <c r="G16" i="3"/>
  <c r="E16" i="3"/>
  <c r="S15" i="3"/>
  <c r="W15" i="3" s="1"/>
  <c r="K15" i="3"/>
  <c r="I15" i="3"/>
  <c r="G15" i="3"/>
  <c r="E15" i="3"/>
  <c r="S14" i="3"/>
  <c r="W14" i="3" s="1"/>
  <c r="K14" i="3"/>
  <c r="I14" i="3"/>
  <c r="G14" i="3"/>
  <c r="E14" i="3"/>
  <c r="S13" i="3"/>
  <c r="K13" i="3"/>
  <c r="I13" i="3"/>
  <c r="G13" i="3"/>
  <c r="E13" i="3"/>
  <c r="S12" i="3"/>
  <c r="W12" i="3" s="1"/>
  <c r="K12" i="3"/>
  <c r="I12" i="3"/>
  <c r="G12" i="3"/>
  <c r="E12" i="3"/>
  <c r="S11" i="3"/>
  <c r="K11" i="3"/>
  <c r="I11" i="3"/>
  <c r="G11" i="3"/>
  <c r="E11" i="3"/>
  <c r="S10" i="3"/>
  <c r="K10" i="3"/>
  <c r="I10" i="3"/>
  <c r="G10" i="3"/>
  <c r="E10" i="3"/>
  <c r="S9" i="3"/>
  <c r="W9" i="3" s="1"/>
  <c r="K9" i="3"/>
  <c r="I9" i="3"/>
  <c r="G9" i="3"/>
  <c r="E9" i="3"/>
  <c r="S8" i="3"/>
  <c r="K8" i="3"/>
  <c r="I8" i="3"/>
  <c r="G8" i="3"/>
  <c r="E8" i="3"/>
  <c r="S7" i="3"/>
  <c r="W7" i="3" s="1"/>
  <c r="K7" i="3"/>
  <c r="I7" i="3"/>
  <c r="G7" i="3"/>
  <c r="E7" i="3"/>
  <c r="S6" i="3"/>
  <c r="W6" i="3" s="1"/>
  <c r="K6" i="3"/>
  <c r="I6" i="3"/>
  <c r="G6" i="3"/>
  <c r="E6" i="3"/>
  <c r="S5" i="3"/>
  <c r="K5" i="3"/>
  <c r="I5" i="3"/>
  <c r="G5" i="3"/>
  <c r="E5" i="3"/>
  <c r="S4" i="3"/>
  <c r="W4" i="3" s="1"/>
  <c r="K4" i="3"/>
  <c r="I4" i="3"/>
  <c r="G4" i="3"/>
  <c r="E4" i="3"/>
  <c r="S3" i="3"/>
  <c r="K3" i="3"/>
  <c r="I3" i="3"/>
  <c r="G3" i="3"/>
  <c r="E3" i="3"/>
  <c r="S2" i="3"/>
  <c r="K2" i="3"/>
  <c r="I2" i="3"/>
  <c r="G2" i="3"/>
  <c r="E2" i="3"/>
  <c r="W77" i="3" l="1"/>
  <c r="W3" i="3"/>
  <c r="W11" i="3"/>
  <c r="W19" i="3"/>
  <c r="W27" i="3"/>
  <c r="W35" i="3"/>
  <c r="W43" i="3"/>
  <c r="W51" i="3"/>
  <c r="W59" i="3"/>
  <c r="W67" i="3"/>
  <c r="W75" i="3"/>
  <c r="W83" i="3"/>
  <c r="W8" i="3"/>
  <c r="W16" i="3"/>
  <c r="W24" i="3"/>
  <c r="W32" i="3"/>
  <c r="W40" i="3"/>
  <c r="W48" i="3"/>
  <c r="W56" i="3"/>
  <c r="W64" i="3"/>
  <c r="W72" i="3"/>
  <c r="W80" i="3"/>
  <c r="W21" i="3"/>
  <c r="W45" i="3"/>
  <c r="W53" i="3"/>
  <c r="W61" i="3"/>
  <c r="W69" i="3"/>
  <c r="W29" i="3"/>
  <c r="W37" i="3"/>
  <c r="W10" i="3"/>
  <c r="W18" i="3"/>
  <c r="W26" i="3"/>
  <c r="W34" i="3"/>
  <c r="W42" i="3"/>
  <c r="W50" i="3"/>
  <c r="W58" i="3"/>
  <c r="W66" i="3"/>
  <c r="W74" i="3"/>
  <c r="W82" i="3"/>
  <c r="W5" i="3"/>
  <c r="W13" i="3"/>
  <c r="W55" i="3"/>
  <c r="W63" i="3"/>
  <c r="W71" i="3"/>
  <c r="W79" i="3"/>
</calcChain>
</file>

<file path=xl/sharedStrings.xml><?xml version="1.0" encoding="utf-8"?>
<sst xmlns="http://schemas.openxmlformats.org/spreadsheetml/2006/main" count="961" uniqueCount="223">
  <si>
    <t>Family Size</t>
  </si>
  <si>
    <t>Body Style</t>
  </si>
  <si>
    <t>Budget (in USD)</t>
  </si>
  <si>
    <t>Cost of electricity per KwH</t>
  </si>
  <si>
    <t>Range_miles</t>
  </si>
  <si>
    <t>Daily commute distance (in miles)</t>
  </si>
  <si>
    <t>Sedan</t>
  </si>
  <si>
    <t> $25,000</t>
  </si>
  <si>
    <t>17 Cents</t>
  </si>
  <si>
    <t>Liftback</t>
  </si>
  <si>
    <t>Brand</t>
  </si>
  <si>
    <t>Model</t>
  </si>
  <si>
    <t>AccelSec</t>
  </si>
  <si>
    <t>TopSpeed_KmH</t>
  </si>
  <si>
    <t>TopSpeed_MilesH</t>
  </si>
  <si>
    <t>Range_Km</t>
  </si>
  <si>
    <t>Range_Miles</t>
  </si>
  <si>
    <t>Efficiency_WhKm</t>
  </si>
  <si>
    <t>Efficiency_WhMiles</t>
  </si>
  <si>
    <t>FastCharge_KmH</t>
  </si>
  <si>
    <t>FastCharge_MilesH</t>
  </si>
  <si>
    <t>RapidCharge</t>
  </si>
  <si>
    <t>PowerTrain</t>
  </si>
  <si>
    <t>PlugType</t>
  </si>
  <si>
    <t>BodyStyle</t>
  </si>
  <si>
    <t>Segment</t>
  </si>
  <si>
    <t>Seats</t>
  </si>
  <si>
    <t>PriceEuro</t>
  </si>
  <si>
    <t>Actual Price in USD</t>
  </si>
  <si>
    <t>Expected Yearly Mileage</t>
  </si>
  <si>
    <t>Running Costs</t>
  </si>
  <si>
    <t xml:space="preserve">Tesla </t>
  </si>
  <si>
    <t>Model 3 Long Range Dual Motor</t>
  </si>
  <si>
    <t>Yes</t>
  </si>
  <si>
    <t>AWD</t>
  </si>
  <si>
    <t>Type 2 CCS</t>
  </si>
  <si>
    <t>D</t>
  </si>
  <si>
    <t xml:space="preserve">Volkswagen </t>
  </si>
  <si>
    <t>ID.3 Pure</t>
  </si>
  <si>
    <t>RWD</t>
  </si>
  <si>
    <t>Hatchback</t>
  </si>
  <si>
    <t>C</t>
  </si>
  <si>
    <t xml:space="preserve">Polestar </t>
  </si>
  <si>
    <t xml:space="preserve">BMW </t>
  </si>
  <si>
    <t xml:space="preserve">iX3 </t>
  </si>
  <si>
    <t>SUV</t>
  </si>
  <si>
    <t xml:space="preserve">Honda </t>
  </si>
  <si>
    <t xml:space="preserve">e </t>
  </si>
  <si>
    <t>B</t>
  </si>
  <si>
    <t>F</t>
  </si>
  <si>
    <t>FWD</t>
  </si>
  <si>
    <t>Model 3 Standard Range Plus</t>
  </si>
  <si>
    <t xml:space="preserve">Audi </t>
  </si>
  <si>
    <t>Elect</t>
  </si>
  <si>
    <t xml:space="preserve">Mercedes </t>
  </si>
  <si>
    <t xml:space="preserve">Nissan </t>
  </si>
  <si>
    <t>Type 2 CHAdeMO</t>
  </si>
  <si>
    <t xml:space="preserve">Hyundai </t>
  </si>
  <si>
    <t>Kona Electric 64 kWh</t>
  </si>
  <si>
    <t xml:space="preserve">Porsche </t>
  </si>
  <si>
    <t>Taycan Turbo S</t>
  </si>
  <si>
    <t>A</t>
  </si>
  <si>
    <t xml:space="preserve">Opel </t>
  </si>
  <si>
    <t xml:space="preserve">Corsa-e </t>
  </si>
  <si>
    <t xml:space="preserve">Skoda </t>
  </si>
  <si>
    <t>Model 3 Long Range Performance</t>
  </si>
  <si>
    <t>i3 120 Ah</t>
  </si>
  <si>
    <t xml:space="preserve">Kia </t>
  </si>
  <si>
    <t xml:space="preserve">Renault </t>
  </si>
  <si>
    <t>Zoe ZE50 R110</t>
  </si>
  <si>
    <t>Pickup</t>
  </si>
  <si>
    <t>N</t>
  </si>
  <si>
    <t xml:space="preserve">Lexus </t>
  </si>
  <si>
    <t>UX 300e</t>
  </si>
  <si>
    <t>Model S Long Range</t>
  </si>
  <si>
    <t>Type 2</t>
  </si>
  <si>
    <t xml:space="preserve">SEAT </t>
  </si>
  <si>
    <t xml:space="preserve">Mii Electric </t>
  </si>
  <si>
    <t>e-Soul 64 kWh</t>
  </si>
  <si>
    <t>MPV</t>
  </si>
  <si>
    <t xml:space="preserve">Lightyear </t>
  </si>
  <si>
    <t xml:space="preserve">One </t>
  </si>
  <si>
    <t>Cabrio</t>
  </si>
  <si>
    <t xml:space="preserve">Mokka-e </t>
  </si>
  <si>
    <t xml:space="preserve">DS </t>
  </si>
  <si>
    <t>3 Crossback E-Tense</t>
  </si>
  <si>
    <t>No</t>
  </si>
  <si>
    <t>Zoe ZE40 R110</t>
  </si>
  <si>
    <t xml:space="preserve">Ford </t>
  </si>
  <si>
    <t>Mustang Mach-E ER RWD</t>
  </si>
  <si>
    <t>SPV</t>
  </si>
  <si>
    <t>Kangoo Maxi ZE 33</t>
  </si>
  <si>
    <t xml:space="preserve">Taycan Cross Turismo </t>
  </si>
  <si>
    <t>Station</t>
  </si>
  <si>
    <t xml:space="preserve">Q4 Sportback e-tron </t>
  </si>
  <si>
    <t>ID.3 1st</t>
  </si>
  <si>
    <t>EQV 300 Long</t>
  </si>
  <si>
    <t>Enyaq iV vRS</t>
  </si>
  <si>
    <t>e-Soul 39 kWh</t>
  </si>
  <si>
    <t>Ariya e-4ORCE 63kWh</t>
  </si>
  <si>
    <t>Task Details</t>
  </si>
  <si>
    <t>Owner</t>
  </si>
  <si>
    <t>Conversion to Euros &gt; USD and KM &gt; Miles calculated columns added</t>
  </si>
  <si>
    <t>Vasudha</t>
  </si>
  <si>
    <t xml:space="preserve">User form to store user inputs </t>
  </si>
  <si>
    <t xml:space="preserve">Zahra </t>
  </si>
  <si>
    <t>Cost Per Mile</t>
  </si>
  <si>
    <t>Formatting</t>
  </si>
  <si>
    <t>Budget</t>
  </si>
  <si>
    <t>Range</t>
  </si>
  <si>
    <t>Daily Commute Distance</t>
  </si>
  <si>
    <t># of seats</t>
  </si>
  <si>
    <t>Your ideal Electric Vehicle will meet the criteria of…</t>
  </si>
  <si>
    <t>Based on your desired criteria, your top choices will be…</t>
  </si>
  <si>
    <t xml:space="preserve">Lucid </t>
  </si>
  <si>
    <t xml:space="preserve">Air </t>
  </si>
  <si>
    <t xml:space="preserve">e-Golf </t>
  </si>
  <si>
    <t xml:space="preserve">Peugeot </t>
  </si>
  <si>
    <t xml:space="preserve">e-208 </t>
  </si>
  <si>
    <t xml:space="preserve">Q4 e-tron </t>
  </si>
  <si>
    <t>EQC 400 4MATIC</t>
  </si>
  <si>
    <t xml:space="preserve">Leaf </t>
  </si>
  <si>
    <t xml:space="preserve">i4 </t>
  </si>
  <si>
    <t>IONIQ Electric</t>
  </si>
  <si>
    <t>ID.3 Pro S</t>
  </si>
  <si>
    <t xml:space="preserve">e-Up! </t>
  </si>
  <si>
    <t xml:space="preserve">MG </t>
  </si>
  <si>
    <t>ZS EV</t>
  </si>
  <si>
    <t xml:space="preserve">Mini </t>
  </si>
  <si>
    <t xml:space="preserve">Cooper SE </t>
  </si>
  <si>
    <t>Model Y Long Range Dual Motor</t>
  </si>
  <si>
    <t>Enyaq iV 50</t>
  </si>
  <si>
    <t xml:space="preserve">e-tron GT </t>
  </si>
  <si>
    <t xml:space="preserve">ID.4 </t>
  </si>
  <si>
    <t>ID.3 Pro</t>
  </si>
  <si>
    <t xml:space="preserve">Volvo </t>
  </si>
  <si>
    <t>XC40 P8 AWD Recharge</t>
  </si>
  <si>
    <t xml:space="preserve">e-2008 SUV </t>
  </si>
  <si>
    <t>e-tron 50 quattro</t>
  </si>
  <si>
    <t>E</t>
  </si>
  <si>
    <t>e-Niro 64 kWh</t>
  </si>
  <si>
    <t>Cybertruck Tri Motor</t>
  </si>
  <si>
    <t xml:space="preserve">Mazda </t>
  </si>
  <si>
    <t xml:space="preserve">MX-30 </t>
  </si>
  <si>
    <t>Leaf e+</t>
  </si>
  <si>
    <t xml:space="preserve">CUPRA </t>
  </si>
  <si>
    <t xml:space="preserve">el-Born </t>
  </si>
  <si>
    <t>Zoe ZE50 R135</t>
  </si>
  <si>
    <t xml:space="preserve">EQA </t>
  </si>
  <si>
    <t>Kona Electric 39 kWh</t>
  </si>
  <si>
    <t>e-tron Sportback 55 quattro</t>
  </si>
  <si>
    <t xml:space="preserve">CITIGOe iV </t>
  </si>
  <si>
    <t xml:space="preserve">Ampera-e </t>
  </si>
  <si>
    <t>Taycan 4S</t>
  </si>
  <si>
    <t xml:space="preserve">Aiways </t>
  </si>
  <si>
    <t xml:space="preserve">U5 </t>
  </si>
  <si>
    <t>e-tron 55 quattro</t>
  </si>
  <si>
    <t xml:space="preserve">Roadster </t>
  </si>
  <si>
    <t>S</t>
  </si>
  <si>
    <t>Enyaq iV 80</t>
  </si>
  <si>
    <t>Model X Long Range</t>
  </si>
  <si>
    <t>e Advance</t>
  </si>
  <si>
    <t>Twingo ZE</t>
  </si>
  <si>
    <t xml:space="preserve">Citroen </t>
  </si>
  <si>
    <t xml:space="preserve">e-C4 </t>
  </si>
  <si>
    <t>Model S Performance</t>
  </si>
  <si>
    <t>Model Y Long Range Performance</t>
  </si>
  <si>
    <t>Ariya 87kWh</t>
  </si>
  <si>
    <t xml:space="preserve">Jaguar </t>
  </si>
  <si>
    <t xml:space="preserve">I-Pace </t>
  </si>
  <si>
    <t>Taycan 4S Plus</t>
  </si>
  <si>
    <t xml:space="preserve">e-NV200 Evalia </t>
  </si>
  <si>
    <t>Type 1 CHAdeMO</t>
  </si>
  <si>
    <t>Cybertruck Dual Motor</t>
  </si>
  <si>
    <t>Mustang Mach-E ER AWD</t>
  </si>
  <si>
    <t>i3s 120 Ah</t>
  </si>
  <si>
    <t>Enyaq iV 80X</t>
  </si>
  <si>
    <t xml:space="preserve">Byton </t>
  </si>
  <si>
    <t>M-Byte 95 kWh 4WD</t>
  </si>
  <si>
    <t xml:space="preserve">Sono </t>
  </si>
  <si>
    <t xml:space="preserve">Sion </t>
  </si>
  <si>
    <t>e-Niro 39 kWh</t>
  </si>
  <si>
    <t xml:space="preserve">Smart </t>
  </si>
  <si>
    <t xml:space="preserve">EQ forfour </t>
  </si>
  <si>
    <t>Mustang Mach-E SR AWD</t>
  </si>
  <si>
    <t>Taycan Turbo</t>
  </si>
  <si>
    <t>Model X Performance</t>
  </si>
  <si>
    <t>EQ fortwo coupe</t>
  </si>
  <si>
    <t>Mustang Mach-E SR RWD</t>
  </si>
  <si>
    <t xml:space="preserve">Fiat </t>
  </si>
  <si>
    <t>500e Hatchback</t>
  </si>
  <si>
    <t>Cybertruck Single Motor</t>
  </si>
  <si>
    <t>e-tron Sportback 50 quattro</t>
  </si>
  <si>
    <t>Enyaq iV 60</t>
  </si>
  <si>
    <t>e-tron S 55 quattro</t>
  </si>
  <si>
    <t>EQ fortwo cabrio</t>
  </si>
  <si>
    <t>Ariya e-4ORCE 87kWh</t>
  </si>
  <si>
    <t>500e Convertible</t>
  </si>
  <si>
    <t>ID.3 Pro Performance</t>
  </si>
  <si>
    <t>M-Byte 72 kWh 2WD</t>
  </si>
  <si>
    <t>Ariya 63kWh</t>
  </si>
  <si>
    <t>e-tron S Sportback 55 quattro</t>
  </si>
  <si>
    <t>Ariya e-4ORCE 87kWh Performance</t>
  </si>
  <si>
    <t>M-Byte 95 kWh 2WD</t>
  </si>
  <si>
    <t xml:space="preserve">Passes all Conditions </t>
  </si>
  <si>
    <t>fdfdfd</t>
  </si>
  <si>
    <t>dfdf</t>
  </si>
  <si>
    <t>asd</t>
  </si>
  <si>
    <t>34as</t>
  </si>
  <si>
    <t>45000a</t>
  </si>
  <si>
    <t>tr</t>
  </si>
  <si>
    <t>sd</t>
  </si>
  <si>
    <t>ddd</t>
  </si>
  <si>
    <t>aa</t>
  </si>
  <si>
    <t>eew22</t>
  </si>
  <si>
    <t>cd</t>
  </si>
  <si>
    <t>0.17a</t>
  </si>
  <si>
    <t>0.17d</t>
  </si>
  <si>
    <t>abc</t>
  </si>
  <si>
    <t>700a</t>
  </si>
  <si>
    <t>as</t>
  </si>
  <si>
    <t>nbg</t>
  </si>
  <si>
    <t>fdfd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</si>
</sst>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44546A"/>
        <bgColor rgb="FF44546A"/>
      </patternFill>
    </fill>
    <fill>
      <patternFill patternType="solid">
        <fgColor rgb="FFBF9000"/>
        <bgColor rgb="FFBF9000"/>
      </patternFill>
    </fill>
    <fill>
      <patternFill patternType="solid">
        <fgColor theme="7" tint="-0.249977111117893"/>
        <bgColor rgb="FF44546A"/>
      </patternFill>
    </fill>
    <fill>
      <patternFill patternType="solid">
        <fgColor theme="5" tint="0.39997558519241921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0" fillId="0" borderId="0" applyFont="0" applyFill="0" applyBorder="0" applyAlignment="0" applyProtection="0"/>
  </cellStyleXfs>
  <cellXfs count="41">
    <xf numFmtId="0" fontId="0" fillId="0" borderId="0" xfId="0" applyFont="1" applyAlignment="1"/>
    <xf numFmtId="0" fontId="5" fillId="2" borderId="1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/>
    <xf numFmtId="0" fontId="8" fillId="0" borderId="0" xfId="0" applyFont="1"/>
    <xf numFmtId="0" fontId="6" fillId="0" borderId="0" xfId="0" applyFont="1" applyAlignment="1">
      <alignment horizontal="left"/>
    </xf>
    <xf numFmtId="3" fontId="6" fillId="0" borderId="0" xfId="0" applyNumberFormat="1" applyFont="1"/>
    <xf numFmtId="0" fontId="5" fillId="2" borderId="1" xfId="0" applyFont="1" applyFill="1" applyBorder="1"/>
    <xf numFmtId="0" fontId="5" fillId="2" borderId="1" xfId="0" applyFont="1" applyFill="1" applyBorder="1" applyAlignment="1">
      <alignment horizontal="left"/>
    </xf>
    <xf numFmtId="0" fontId="5" fillId="3" borderId="1" xfId="0" applyFont="1" applyFill="1" applyBorder="1"/>
    <xf numFmtId="44" fontId="5" fillId="2" borderId="1" xfId="0" applyNumberFormat="1" applyFont="1" applyFill="1" applyBorder="1"/>
    <xf numFmtId="44" fontId="5" fillId="3" borderId="1" xfId="0" applyNumberFormat="1" applyFont="1" applyFill="1" applyBorder="1"/>
    <xf numFmtId="44" fontId="5" fillId="3" borderId="1" xfId="0" applyNumberFormat="1" applyFont="1" applyFill="1" applyBorder="1" applyAlignment="1">
      <alignment wrapText="1"/>
    </xf>
    <xf numFmtId="0" fontId="6" fillId="0" borderId="0" xfId="0" applyFont="1" applyAlignment="1">
      <alignment horizontal="center"/>
    </xf>
    <xf numFmtId="44" fontId="6" fillId="0" borderId="0" xfId="0" applyNumberFormat="1" applyFont="1"/>
    <xf numFmtId="0" fontId="9" fillId="3" borderId="1" xfId="0" applyFont="1" applyFill="1" applyBorder="1"/>
    <xf numFmtId="0" fontId="5" fillId="4" borderId="1" xfId="0" applyFont="1" applyFill="1" applyBorder="1"/>
    <xf numFmtId="0" fontId="0" fillId="0" borderId="0" xfId="0" applyFont="1" applyFill="1" applyAlignment="1"/>
    <xf numFmtId="0" fontId="0" fillId="0" borderId="5" xfId="0" applyFont="1" applyFill="1" applyBorder="1" applyAlignment="1"/>
    <xf numFmtId="0" fontId="0" fillId="0" borderId="6" xfId="0" applyFont="1" applyFill="1" applyBorder="1" applyAlignment="1"/>
    <xf numFmtId="0" fontId="0" fillId="0" borderId="7" xfId="0" applyFont="1" applyFill="1" applyBorder="1" applyAlignment="1"/>
    <xf numFmtId="7" fontId="0" fillId="0" borderId="6" xfId="0" applyNumberFormat="1" applyFont="1" applyFill="1" applyBorder="1" applyAlignment="1"/>
    <xf numFmtId="3" fontId="0" fillId="0" borderId="0" xfId="0" applyNumberFormat="1" applyFont="1" applyAlignment="1"/>
    <xf numFmtId="0" fontId="3" fillId="0" borderId="0" xfId="0" applyFont="1" applyFill="1"/>
    <xf numFmtId="0" fontId="6" fillId="0" borderId="0" xfId="0" applyFont="1" applyFill="1" applyAlignment="1">
      <alignment horizontal="left"/>
    </xf>
    <xf numFmtId="1" fontId="3" fillId="0" borderId="0" xfId="0" applyNumberFormat="1" applyFont="1" applyFill="1"/>
    <xf numFmtId="0" fontId="6" fillId="0" borderId="0" xfId="0" applyFont="1" applyFill="1" applyAlignment="1">
      <alignment horizontal="center"/>
    </xf>
    <xf numFmtId="44" fontId="6" fillId="0" borderId="0" xfId="0" applyNumberFormat="1" applyFont="1" applyFill="1"/>
    <xf numFmtId="164" fontId="6" fillId="0" borderId="0" xfId="0" applyNumberFormat="1" applyFont="1" applyFill="1"/>
    <xf numFmtId="7" fontId="0" fillId="0" borderId="0" xfId="1" applyNumberFormat="1" applyFont="1" applyFill="1" applyAlignment="1"/>
    <xf numFmtId="0" fontId="2" fillId="0" borderId="0" xfId="0" applyFont="1" applyFill="1"/>
    <xf numFmtId="0" fontId="2" fillId="0" borderId="6" xfId="0" applyFont="1" applyFill="1" applyBorder="1" applyAlignment="1"/>
    <xf numFmtId="0" fontId="1" fillId="0" borderId="0" xfId="0" applyFont="1" applyFill="1"/>
    <xf numFmtId="0" fontId="5" fillId="0" borderId="1" xfId="0" applyFont="1" applyFill="1" applyBorder="1"/>
    <xf numFmtId="0" fontId="11" fillId="5" borderId="2" xfId="0" applyFont="1" applyFill="1" applyBorder="1" applyAlignment="1"/>
    <xf numFmtId="0" fontId="11" fillId="5" borderId="3" xfId="0" applyFont="1" applyFill="1" applyBorder="1" applyAlignment="1"/>
    <xf numFmtId="7" fontId="11" fillId="5" borderId="3" xfId="0" applyNumberFormat="1" applyFont="1" applyFill="1" applyBorder="1" applyAlignment="1"/>
    <xf numFmtId="0" fontId="11" fillId="5" borderId="4" xfId="0" applyFont="1" applyFill="1" applyBorder="1" applyAlignment="1"/>
    <xf numFmtId="2" fontId="0" fillId="0" borderId="0" xfId="0" applyNumberFormat="1" applyFont="1" applyFill="1" applyAlignment="1"/>
    <xf numFmtId="0" fontId="4" fillId="0" borderId="0" xfId="0" applyFont="1" applyAlignment="1">
      <alignment horizontal="left"/>
    </xf>
    <xf numFmtId="0" fontId="4" fillId="0" borderId="0" xfId="0" applyFont="1" applyFill="1" applyAlignment="1">
      <alignment horizontal="left"/>
    </xf>
  </cellXfs>
  <cellStyles count="2">
    <cellStyle name="Currency" xfId="1" builtinId="4"/>
    <cellStyle name="Normal" xfId="0" builtinId="0"/>
  </cellStyles>
  <dxfs count="1">
    <dxf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9</xdr:row>
          <xdr:rowOff>0</xdr:rowOff>
        </xdr:from>
        <xdr:to>
          <xdr:col>4</xdr:col>
          <xdr:colOff>594360</xdr:colOff>
          <xdr:row>12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</xdr:row>
          <xdr:rowOff>0</xdr:rowOff>
        </xdr:from>
        <xdr:to>
          <xdr:col>7</xdr:col>
          <xdr:colOff>1036320</xdr:colOff>
          <xdr:row>3</xdr:row>
          <xdr:rowOff>7620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Relaunch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A1000"/>
  <sheetViews>
    <sheetView workbookViewId="0">
      <selection activeCell="H11" sqref="H11"/>
    </sheetView>
  </sheetViews>
  <sheetFormatPr defaultColWidth="14.44140625" defaultRowHeight="15" customHeight="1" x14ac:dyDescent="0.3"/>
  <cols>
    <col min="1" max="26" width="8.77734375" customWidth="1"/>
  </cols>
  <sheetData>
    <row r="1" ht="14.25" customHeight="1" x14ac:dyDescent="0.3"/>
    <row r="2" ht="14.25" customHeight="1" x14ac:dyDescent="0.3"/>
    <row r="3" ht="14.25" customHeight="1" x14ac:dyDescent="0.3"/>
    <row r="4" ht="14.25" customHeight="1" x14ac:dyDescent="0.3"/>
    <row r="5" ht="14.25" customHeight="1" x14ac:dyDescent="0.3"/>
    <row r="6" ht="14.25" customHeight="1" x14ac:dyDescent="0.3"/>
    <row r="7" ht="14.25" customHeight="1" x14ac:dyDescent="0.3"/>
    <row r="8" ht="14.25" customHeight="1" x14ac:dyDescent="0.3"/>
    <row r="9" ht="14.25" customHeight="1" x14ac:dyDescent="0.3"/>
    <row r="10" ht="14.25" customHeight="1" x14ac:dyDescent="0.3"/>
    <row r="11" ht="14.25" customHeight="1" x14ac:dyDescent="0.3"/>
    <row r="12" ht="14.25" customHeight="1" x14ac:dyDescent="0.3"/>
    <row r="13" ht="14.25" customHeight="1" x14ac:dyDescent="0.3"/>
    <row r="14" ht="14.25" customHeight="1" x14ac:dyDescent="0.3"/>
    <row r="15" ht="14.25" customHeight="1" x14ac:dyDescent="0.3"/>
    <row r="16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egin_Click">
                <anchor moveWithCells="1" sizeWithCells="1">
                  <from>
                    <xdr:col>2</xdr:col>
                    <xdr:colOff>99060</xdr:colOff>
                    <xdr:row>9</xdr:row>
                    <xdr:rowOff>0</xdr:rowOff>
                  </from>
                  <to>
                    <xdr:col>4</xdr:col>
                    <xdr:colOff>594360</xdr:colOff>
                    <xdr:row>12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C55A11"/>
  </sheetPr>
  <dimension ref="A1:Z1000"/>
  <sheetViews>
    <sheetView workbookViewId="0">
      <selection activeCell="E6" sqref="E6"/>
    </sheetView>
  </sheetViews>
  <sheetFormatPr defaultColWidth="14.44140625" defaultRowHeight="15" customHeight="1" x14ac:dyDescent="0.3"/>
  <cols>
    <col min="1" max="4" width="18" customWidth="1"/>
    <col min="5" max="5" width="24.21875" customWidth="1"/>
    <col min="6" max="6" width="18" customWidth="1"/>
    <col min="7" max="7" width="33" customWidth="1"/>
    <col min="8" max="26" width="8.77734375" customWidth="1"/>
  </cols>
  <sheetData>
    <row r="1" spans="1:26" ht="14.25" customHeight="1" x14ac:dyDescent="0.3">
      <c r="A1" s="1">
        <v>56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2">
        <v>1</v>
      </c>
      <c r="B2" s="2">
        <v>4</v>
      </c>
      <c r="C2" s="3" t="s">
        <v>6</v>
      </c>
      <c r="D2" s="4" t="s">
        <v>7</v>
      </c>
      <c r="E2" s="3" t="s">
        <v>8</v>
      </c>
      <c r="F2" s="5">
        <v>500</v>
      </c>
      <c r="G2" s="5">
        <v>35</v>
      </c>
      <c r="H2" s="6"/>
    </row>
    <row r="3" spans="1:26" ht="14.25" customHeight="1" x14ac:dyDescent="0.3">
      <c r="A3" s="2">
        <v>2</v>
      </c>
      <c r="B3" s="2">
        <v>2</v>
      </c>
      <c r="C3" s="5" t="s">
        <v>9</v>
      </c>
      <c r="D3" s="5">
        <v>23000</v>
      </c>
      <c r="E3" s="5">
        <v>17</v>
      </c>
      <c r="F3" s="5">
        <v>5</v>
      </c>
      <c r="G3" s="5">
        <v>25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4.25" customHeight="1" x14ac:dyDescent="0.3">
      <c r="A4" s="2">
        <v>3</v>
      </c>
      <c r="B4" s="2">
        <v>2</v>
      </c>
      <c r="C4" t="s">
        <v>45</v>
      </c>
      <c r="D4">
        <v>100000</v>
      </c>
      <c r="E4">
        <v>17</v>
      </c>
      <c r="F4" s="5">
        <v>0</v>
      </c>
      <c r="G4" s="5">
        <v>222</v>
      </c>
    </row>
    <row r="5" spans="1:26" ht="14.25" customHeight="1" x14ac:dyDescent="0.3">
      <c r="A5" s="2">
        <v>4</v>
      </c>
      <c r="B5" s="2">
        <v>4</v>
      </c>
      <c r="C5" t="s">
        <v>40</v>
      </c>
      <c r="D5">
        <v>456789</v>
      </c>
      <c r="E5">
        <v>17</v>
      </c>
      <c r="F5" s="5">
        <v>14</v>
      </c>
      <c r="G5" s="5">
        <v>22</v>
      </c>
    </row>
    <row r="6" spans="1:26" ht="14.25" customHeight="1" x14ac:dyDescent="0.3">
      <c r="A6" s="2">
        <v>5</v>
      </c>
      <c r="B6" s="2">
        <v>2</v>
      </c>
      <c r="C6" t="s">
        <v>45</v>
      </c>
      <c r="D6">
        <v>1234</v>
      </c>
      <c r="E6">
        <v>17</v>
      </c>
      <c r="F6" s="5">
        <v>15</v>
      </c>
      <c r="G6" s="5">
        <v>3333</v>
      </c>
    </row>
    <row r="7" spans="1:26" ht="14.25" customHeight="1" x14ac:dyDescent="0.3">
      <c r="A7" s="2">
        <v>6</v>
      </c>
      <c r="B7" s="2">
        <v>2</v>
      </c>
      <c r="C7" t="s">
        <v>53</v>
      </c>
      <c r="D7">
        <v>1111</v>
      </c>
      <c r="E7">
        <v>17</v>
      </c>
      <c r="F7" s="5">
        <v>8</v>
      </c>
      <c r="G7" s="5">
        <v>324</v>
      </c>
    </row>
    <row r="8" spans="1:26" ht="14.25" customHeight="1" x14ac:dyDescent="0.3">
      <c r="A8" s="2">
        <v>7</v>
      </c>
      <c r="B8" s="2">
        <v>2</v>
      </c>
      <c r="C8" t="s">
        <v>45</v>
      </c>
      <c r="D8">
        <v>324</v>
      </c>
      <c r="E8">
        <v>17</v>
      </c>
      <c r="F8" s="5">
        <v>8</v>
      </c>
      <c r="G8" s="5">
        <v>21</v>
      </c>
    </row>
    <row r="9" spans="1:26" ht="14.25" customHeight="1" x14ac:dyDescent="0.3">
      <c r="A9" s="2">
        <v>8</v>
      </c>
      <c r="B9" s="2">
        <v>2</v>
      </c>
      <c r="C9" t="s">
        <v>45</v>
      </c>
      <c r="D9">
        <v>12</v>
      </c>
      <c r="E9">
        <v>17</v>
      </c>
      <c r="F9" s="5">
        <v>0</v>
      </c>
      <c r="G9" s="5">
        <v>32</v>
      </c>
    </row>
    <row r="10" spans="1:26" ht="14.25" customHeight="1" x14ac:dyDescent="0.3">
      <c r="A10" s="2">
        <v>9</v>
      </c>
      <c r="B10" s="2">
        <v>2</v>
      </c>
      <c r="C10" t="s">
        <v>45</v>
      </c>
      <c r="D10">
        <v>324</v>
      </c>
      <c r="E10">
        <v>17</v>
      </c>
      <c r="F10" s="5">
        <v>0</v>
      </c>
      <c r="G10" s="5">
        <v>432</v>
      </c>
    </row>
    <row r="11" spans="1:26" ht="14.25" customHeight="1" x14ac:dyDescent="0.3">
      <c r="A11" s="2">
        <v>10</v>
      </c>
      <c r="B11" s="2">
        <v>2</v>
      </c>
      <c r="C11" t="s">
        <v>53</v>
      </c>
      <c r="D11">
        <v>324</v>
      </c>
      <c r="E11">
        <v>17</v>
      </c>
      <c r="F11" s="5">
        <v>5</v>
      </c>
      <c r="G11" s="5">
        <v>3</v>
      </c>
    </row>
    <row r="12" spans="1:26" ht="14.25" customHeight="1" x14ac:dyDescent="0.3">
      <c r="A12" s="2">
        <v>11</v>
      </c>
      <c r="B12" s="2">
        <v>2</v>
      </c>
      <c r="C12" t="s">
        <v>45</v>
      </c>
      <c r="D12">
        <v>2</v>
      </c>
      <c r="E12">
        <v>17</v>
      </c>
      <c r="F12" s="5">
        <v>2</v>
      </c>
      <c r="G12" s="5">
        <v>555</v>
      </c>
    </row>
    <row r="13" spans="1:26" ht="14.25" customHeight="1" x14ac:dyDescent="0.3">
      <c r="A13" s="2">
        <v>12</v>
      </c>
      <c r="B13" s="2">
        <v>2</v>
      </c>
      <c r="C13" t="s">
        <v>70</v>
      </c>
      <c r="D13">
        <v>436356</v>
      </c>
      <c r="E13">
        <v>17</v>
      </c>
      <c r="F13" s="5">
        <v>6</v>
      </c>
      <c r="G13" s="5">
        <v>123</v>
      </c>
    </row>
    <row r="14" spans="1:26" ht="14.25" customHeight="1" x14ac:dyDescent="0.3">
      <c r="A14" s="2">
        <v>13</v>
      </c>
      <c r="B14" s="2">
        <v>2</v>
      </c>
      <c r="C14" t="s">
        <v>53</v>
      </c>
      <c r="D14">
        <v>323</v>
      </c>
      <c r="E14">
        <v>17</v>
      </c>
      <c r="F14" s="5">
        <v>4</v>
      </c>
      <c r="G14" s="5">
        <v>50</v>
      </c>
    </row>
    <row r="15" spans="1:26" ht="14.25" customHeight="1" x14ac:dyDescent="0.3">
      <c r="A15" s="2">
        <v>14</v>
      </c>
      <c r="B15" s="2">
        <v>2</v>
      </c>
      <c r="C15" t="s">
        <v>45</v>
      </c>
      <c r="D15">
        <v>30000</v>
      </c>
      <c r="E15">
        <v>17</v>
      </c>
      <c r="F15" s="5">
        <v>18</v>
      </c>
      <c r="G15" s="5">
        <v>100</v>
      </c>
    </row>
    <row r="16" spans="1:26" ht="14.25" customHeight="1" x14ac:dyDescent="0.3">
      <c r="A16" s="2">
        <v>15</v>
      </c>
      <c r="B16" s="2">
        <v>2</v>
      </c>
      <c r="C16" t="s">
        <v>45</v>
      </c>
      <c r="D16">
        <v>30000</v>
      </c>
      <c r="E16">
        <v>17</v>
      </c>
      <c r="F16" s="5">
        <v>11</v>
      </c>
      <c r="G16" s="5">
        <v>90</v>
      </c>
    </row>
    <row r="17" spans="1:7" ht="14.25" customHeight="1" x14ac:dyDescent="0.3">
      <c r="A17" s="2">
        <v>16</v>
      </c>
      <c r="B17" s="2">
        <v>2</v>
      </c>
      <c r="C17" t="s">
        <v>45</v>
      </c>
      <c r="D17">
        <v>35000</v>
      </c>
      <c r="E17">
        <v>17</v>
      </c>
      <c r="F17" s="5">
        <v>10</v>
      </c>
      <c r="G17" s="5">
        <v>60</v>
      </c>
    </row>
    <row r="18" spans="1:7" ht="14.25" customHeight="1" x14ac:dyDescent="0.3">
      <c r="A18" s="2">
        <v>17</v>
      </c>
      <c r="B18" s="2">
        <v>2</v>
      </c>
      <c r="C18" t="s">
        <v>82</v>
      </c>
      <c r="D18">
        <v>40000</v>
      </c>
      <c r="E18">
        <v>17</v>
      </c>
      <c r="F18" s="5">
        <v>20</v>
      </c>
      <c r="G18" s="5">
        <v>80</v>
      </c>
    </row>
    <row r="19" spans="1:7" ht="14.25" customHeight="1" x14ac:dyDescent="0.3">
      <c r="A19" s="2">
        <v>18</v>
      </c>
      <c r="B19" s="2">
        <v>2</v>
      </c>
      <c r="C19" t="s">
        <v>40</v>
      </c>
      <c r="D19">
        <v>43000</v>
      </c>
      <c r="E19">
        <v>17</v>
      </c>
      <c r="F19" s="5">
        <v>9</v>
      </c>
      <c r="G19" s="5">
        <v>89</v>
      </c>
    </row>
    <row r="20" spans="1:7" ht="14.25" customHeight="1" x14ac:dyDescent="0.3">
      <c r="A20" s="2">
        <v>19</v>
      </c>
      <c r="B20" s="2">
        <v>2</v>
      </c>
      <c r="C20" t="s">
        <v>53</v>
      </c>
      <c r="D20">
        <v>20000</v>
      </c>
      <c r="E20">
        <v>17</v>
      </c>
      <c r="F20" s="5">
        <v>5</v>
      </c>
      <c r="G20" s="5">
        <v>54</v>
      </c>
    </row>
    <row r="21" spans="1:7" ht="14.25" customHeight="1" x14ac:dyDescent="0.3">
      <c r="A21" s="2">
        <v>20</v>
      </c>
      <c r="B21" s="2">
        <v>2</v>
      </c>
      <c r="C21" t="s">
        <v>79</v>
      </c>
      <c r="D21">
        <v>33000</v>
      </c>
      <c r="E21">
        <v>17</v>
      </c>
      <c r="F21" s="5">
        <v>17</v>
      </c>
      <c r="G21" s="5">
        <v>75</v>
      </c>
    </row>
    <row r="22" spans="1:7" ht="14.25" customHeight="1" x14ac:dyDescent="0.3">
      <c r="A22" s="2">
        <v>21</v>
      </c>
      <c r="B22" s="2">
        <v>5</v>
      </c>
      <c r="C22" t="s">
        <v>6</v>
      </c>
      <c r="D22">
        <v>32000</v>
      </c>
      <c r="E22">
        <v>17</v>
      </c>
      <c r="F22" s="5">
        <v>16</v>
      </c>
      <c r="G22" s="5">
        <v>65</v>
      </c>
    </row>
    <row r="23" spans="1:7" ht="14.25" customHeight="1" x14ac:dyDescent="0.3">
      <c r="A23" s="2">
        <v>22</v>
      </c>
      <c r="B23" s="2">
        <v>2</v>
      </c>
      <c r="C23" t="s">
        <v>9</v>
      </c>
      <c r="D23">
        <v>25000</v>
      </c>
      <c r="E23">
        <v>17</v>
      </c>
      <c r="F23" s="5">
        <v>12</v>
      </c>
      <c r="G23" s="5">
        <v>75</v>
      </c>
    </row>
    <row r="24" spans="1:7" ht="14.25" customHeight="1" x14ac:dyDescent="0.3">
      <c r="A24" s="2">
        <v>23</v>
      </c>
      <c r="B24" s="2">
        <v>2</v>
      </c>
      <c r="C24" t="s">
        <v>53</v>
      </c>
      <c r="D24">
        <v>20000</v>
      </c>
      <c r="E24">
        <v>17</v>
      </c>
      <c r="F24" s="5">
        <v>12</v>
      </c>
      <c r="G24" s="5">
        <v>55</v>
      </c>
    </row>
    <row r="25" spans="1:7" ht="14.25" customHeight="1" x14ac:dyDescent="0.3">
      <c r="A25" s="2">
        <v>24</v>
      </c>
      <c r="B25" s="2">
        <v>2</v>
      </c>
      <c r="C25" t="s">
        <v>40</v>
      </c>
      <c r="D25">
        <v>42000</v>
      </c>
      <c r="E25">
        <v>17</v>
      </c>
      <c r="F25" s="5">
        <v>17</v>
      </c>
      <c r="G25" s="5">
        <v>65</v>
      </c>
    </row>
    <row r="26" spans="1:7" ht="14.25" customHeight="1" x14ac:dyDescent="0.3">
      <c r="A26" s="2">
        <v>25</v>
      </c>
      <c r="B26" s="2">
        <v>2</v>
      </c>
      <c r="C26" t="s">
        <v>9</v>
      </c>
      <c r="D26">
        <v>32000</v>
      </c>
      <c r="E26">
        <v>17</v>
      </c>
      <c r="F26" s="5">
        <v>15</v>
      </c>
      <c r="G26" s="5">
        <v>45</v>
      </c>
    </row>
    <row r="27" spans="1:7" ht="14.25" customHeight="1" x14ac:dyDescent="0.3">
      <c r="A27" s="2">
        <v>26</v>
      </c>
      <c r="B27" s="2">
        <v>2</v>
      </c>
      <c r="C27" t="s">
        <v>45</v>
      </c>
      <c r="D27">
        <v>33000</v>
      </c>
      <c r="E27">
        <v>17</v>
      </c>
      <c r="F27" s="5">
        <v>17</v>
      </c>
      <c r="G27" s="5">
        <v>46</v>
      </c>
    </row>
    <row r="28" spans="1:7" ht="14.25" customHeight="1" x14ac:dyDescent="0.3">
      <c r="A28" s="2">
        <v>27</v>
      </c>
      <c r="B28" s="2">
        <v>2</v>
      </c>
      <c r="C28" t="s">
        <v>40</v>
      </c>
      <c r="D28">
        <v>31000</v>
      </c>
      <c r="E28">
        <v>17</v>
      </c>
      <c r="F28" s="5">
        <v>7</v>
      </c>
      <c r="G28" s="5">
        <v>45</v>
      </c>
    </row>
    <row r="29" spans="1:7" ht="14.25" customHeight="1" x14ac:dyDescent="0.3">
      <c r="A29" s="2">
        <v>28</v>
      </c>
      <c r="B29" s="2">
        <v>2</v>
      </c>
      <c r="C29" t="s">
        <v>6</v>
      </c>
      <c r="D29">
        <v>41000</v>
      </c>
      <c r="E29">
        <v>17</v>
      </c>
      <c r="F29" s="5">
        <v>13</v>
      </c>
      <c r="G29" s="5">
        <v>33</v>
      </c>
    </row>
    <row r="30" spans="1:7" ht="14.25" customHeight="1" x14ac:dyDescent="0.3">
      <c r="A30" s="2">
        <v>29</v>
      </c>
      <c r="B30" s="2">
        <v>2</v>
      </c>
      <c r="C30" t="s">
        <v>45</v>
      </c>
      <c r="D30">
        <v>44000</v>
      </c>
      <c r="E30">
        <v>17</v>
      </c>
      <c r="F30" s="5">
        <v>12</v>
      </c>
      <c r="G30" s="5">
        <v>67</v>
      </c>
    </row>
    <row r="31" spans="1:7" ht="14.25" customHeight="1" x14ac:dyDescent="0.3">
      <c r="A31" s="2">
        <v>30</v>
      </c>
      <c r="B31" s="2">
        <v>2</v>
      </c>
      <c r="C31" t="s">
        <v>9</v>
      </c>
      <c r="D31">
        <v>50000</v>
      </c>
      <c r="E31">
        <v>17</v>
      </c>
      <c r="F31" s="5">
        <v>15</v>
      </c>
      <c r="G31" s="5">
        <v>90</v>
      </c>
    </row>
    <row r="32" spans="1:7" ht="14.25" customHeight="1" x14ac:dyDescent="0.3">
      <c r="A32" s="2">
        <v>31</v>
      </c>
      <c r="B32" s="2">
        <v>2</v>
      </c>
      <c r="C32" t="s">
        <v>40</v>
      </c>
      <c r="D32">
        <v>34000</v>
      </c>
      <c r="E32">
        <v>17</v>
      </c>
      <c r="F32" s="5">
        <v>9</v>
      </c>
      <c r="G32" s="5">
        <v>100</v>
      </c>
    </row>
    <row r="33" spans="1:7" ht="14.25" customHeight="1" x14ac:dyDescent="0.3">
      <c r="A33" s="2">
        <v>32</v>
      </c>
      <c r="B33" s="2">
        <v>2</v>
      </c>
      <c r="C33" t="s">
        <v>53</v>
      </c>
      <c r="D33">
        <v>54000</v>
      </c>
      <c r="E33">
        <v>17</v>
      </c>
      <c r="F33" s="5">
        <v>8</v>
      </c>
      <c r="G33" s="5">
        <v>60</v>
      </c>
    </row>
    <row r="34" spans="1:7" ht="14.25" customHeight="1" x14ac:dyDescent="0.3">
      <c r="A34" s="2">
        <v>33</v>
      </c>
      <c r="B34" s="2">
        <v>2</v>
      </c>
      <c r="C34" t="s">
        <v>40</v>
      </c>
      <c r="D34">
        <v>45000</v>
      </c>
      <c r="E34">
        <v>17</v>
      </c>
      <c r="F34" s="5">
        <v>15</v>
      </c>
      <c r="G34" s="5">
        <v>70</v>
      </c>
    </row>
    <row r="35" spans="1:7" ht="14.25" customHeight="1" x14ac:dyDescent="0.3">
      <c r="A35" s="2">
        <v>34</v>
      </c>
      <c r="B35" s="2">
        <v>2</v>
      </c>
      <c r="C35" t="s">
        <v>45</v>
      </c>
      <c r="D35">
        <v>52000</v>
      </c>
      <c r="E35">
        <v>17</v>
      </c>
      <c r="F35" s="5">
        <v>20</v>
      </c>
      <c r="G35" s="5">
        <v>60</v>
      </c>
    </row>
    <row r="36" spans="1:7" ht="14.25" customHeight="1" x14ac:dyDescent="0.3">
      <c r="A36" s="2">
        <v>35</v>
      </c>
      <c r="B36" s="2">
        <v>5</v>
      </c>
      <c r="C36" t="s">
        <v>6</v>
      </c>
      <c r="D36">
        <v>30000</v>
      </c>
      <c r="E36">
        <v>17</v>
      </c>
      <c r="F36" s="5">
        <v>19</v>
      </c>
      <c r="G36" s="5">
        <v>65</v>
      </c>
    </row>
    <row r="37" spans="1:7" ht="14.25" customHeight="1" x14ac:dyDescent="0.3">
      <c r="A37" s="2">
        <v>36</v>
      </c>
      <c r="B37" s="2">
        <v>7</v>
      </c>
      <c r="C37" t="s">
        <v>45</v>
      </c>
      <c r="D37">
        <v>40000</v>
      </c>
      <c r="E37">
        <v>17</v>
      </c>
      <c r="F37" s="5">
        <v>402</v>
      </c>
      <c r="G37" s="5">
        <v>70</v>
      </c>
    </row>
    <row r="38" spans="1:7" ht="14.25" customHeight="1" x14ac:dyDescent="0.3">
      <c r="A38" s="2">
        <v>37</v>
      </c>
      <c r="B38" s="2">
        <v>5</v>
      </c>
      <c r="C38" t="s">
        <v>6</v>
      </c>
      <c r="D38">
        <v>35000</v>
      </c>
      <c r="E38">
        <v>17</v>
      </c>
      <c r="F38" s="5">
        <v>351</v>
      </c>
      <c r="G38" s="5">
        <v>100</v>
      </c>
    </row>
    <row r="39" spans="1:7" ht="14.25" customHeight="1" x14ac:dyDescent="0.3">
      <c r="A39" s="2">
        <v>38</v>
      </c>
      <c r="B39" s="2">
        <v>2</v>
      </c>
      <c r="C39" t="s">
        <v>45</v>
      </c>
      <c r="D39">
        <v>50000</v>
      </c>
      <c r="E39">
        <v>17</v>
      </c>
      <c r="F39" s="5">
        <v>402</v>
      </c>
      <c r="G39" s="5">
        <v>70</v>
      </c>
    </row>
    <row r="40" spans="1:7" ht="14.25" customHeight="1" x14ac:dyDescent="0.3">
      <c r="A40" s="2">
        <v>39</v>
      </c>
      <c r="B40" s="2">
        <v>2</v>
      </c>
      <c r="C40" t="s">
        <v>53</v>
      </c>
      <c r="D40">
        <v>42000</v>
      </c>
      <c r="E40">
        <v>17</v>
      </c>
      <c r="F40" s="5">
        <v>240</v>
      </c>
      <c r="G40" s="5">
        <v>50</v>
      </c>
    </row>
    <row r="41" spans="1:7" ht="14.25" customHeight="1" x14ac:dyDescent="0.3">
      <c r="A41" s="2">
        <v>40</v>
      </c>
      <c r="B41" s="2">
        <v>2</v>
      </c>
      <c r="C41" t="s">
        <v>9</v>
      </c>
      <c r="D41">
        <v>45000</v>
      </c>
      <c r="E41">
        <v>17</v>
      </c>
      <c r="F41" s="5">
        <v>272</v>
      </c>
      <c r="G41" s="5">
        <v>100</v>
      </c>
    </row>
    <row r="42" spans="1:7" ht="14.25" customHeight="1" x14ac:dyDescent="0.3">
      <c r="A42" s="2">
        <v>41</v>
      </c>
      <c r="B42" s="2">
        <v>2</v>
      </c>
      <c r="C42" t="s">
        <v>40</v>
      </c>
      <c r="D42">
        <v>35000</v>
      </c>
      <c r="E42">
        <v>17</v>
      </c>
      <c r="F42" s="5">
        <v>355</v>
      </c>
      <c r="G42" s="5">
        <v>90</v>
      </c>
    </row>
    <row r="43" spans="1:7" ht="14.25" customHeight="1" x14ac:dyDescent="0.3">
      <c r="A43" s="2">
        <v>42</v>
      </c>
      <c r="B43" s="2">
        <v>2</v>
      </c>
      <c r="C43" t="s">
        <v>6</v>
      </c>
      <c r="D43">
        <v>50000</v>
      </c>
      <c r="E43">
        <v>17</v>
      </c>
      <c r="F43" s="5">
        <v>256</v>
      </c>
      <c r="G43" s="5">
        <v>100</v>
      </c>
    </row>
    <row r="44" spans="1:7" ht="14.25" customHeight="1" x14ac:dyDescent="0.3">
      <c r="A44" s="2">
        <v>43</v>
      </c>
      <c r="B44" s="2">
        <v>2</v>
      </c>
      <c r="C44" t="s">
        <v>6</v>
      </c>
      <c r="D44">
        <v>30000</v>
      </c>
      <c r="E44">
        <v>17</v>
      </c>
      <c r="F44" s="5">
        <v>351</v>
      </c>
      <c r="G44" s="5">
        <v>100</v>
      </c>
    </row>
    <row r="45" spans="1:7" ht="14.25" customHeight="1" x14ac:dyDescent="0.3">
      <c r="A45" s="2">
        <v>44</v>
      </c>
      <c r="B45" s="2">
        <v>5</v>
      </c>
      <c r="C45" t="s">
        <v>45</v>
      </c>
      <c r="D45">
        <v>95000</v>
      </c>
      <c r="E45">
        <v>17</v>
      </c>
      <c r="F45" s="5">
        <v>398</v>
      </c>
      <c r="G45" s="5">
        <v>90</v>
      </c>
    </row>
    <row r="46" spans="1:7" ht="14.25" customHeight="1" x14ac:dyDescent="0.3">
      <c r="A46" s="2">
        <v>45</v>
      </c>
      <c r="B46" s="2">
        <v>7</v>
      </c>
      <c r="C46" t="s">
        <v>40</v>
      </c>
      <c r="D46">
        <v>100000</v>
      </c>
      <c r="E46">
        <v>17</v>
      </c>
      <c r="F46" s="5">
        <v>437</v>
      </c>
      <c r="G46" s="5">
        <v>80</v>
      </c>
    </row>
    <row r="47" spans="1:7" ht="14.25" customHeight="1" x14ac:dyDescent="0.3">
      <c r="A47" s="2">
        <v>46</v>
      </c>
      <c r="B47" s="2">
        <v>4</v>
      </c>
      <c r="C47" t="s">
        <v>53</v>
      </c>
      <c r="D47">
        <v>20000</v>
      </c>
      <c r="E47">
        <v>17</v>
      </c>
      <c r="F47" s="5">
        <v>315</v>
      </c>
      <c r="G47" s="5">
        <v>100</v>
      </c>
    </row>
    <row r="48" spans="1:7" ht="14.25" customHeight="1" x14ac:dyDescent="0.3">
      <c r="A48" s="2">
        <v>47</v>
      </c>
      <c r="B48" s="2">
        <v>5</v>
      </c>
      <c r="C48" t="s">
        <v>45</v>
      </c>
      <c r="D48">
        <v>60000</v>
      </c>
      <c r="E48">
        <v>17</v>
      </c>
      <c r="F48" s="5">
        <v>481</v>
      </c>
      <c r="G48" s="5">
        <v>100</v>
      </c>
    </row>
    <row r="49" spans="1:7" ht="14.25" customHeight="1" x14ac:dyDescent="0.3">
      <c r="A49" s="2">
        <v>48</v>
      </c>
      <c r="B49" s="2">
        <v>5</v>
      </c>
      <c r="C49" t="s">
        <v>40</v>
      </c>
      <c r="D49">
        <v>40000</v>
      </c>
      <c r="E49">
        <v>17</v>
      </c>
      <c r="F49" s="5">
        <v>299</v>
      </c>
      <c r="G49" s="5">
        <v>60</v>
      </c>
    </row>
    <row r="50" spans="1:7" ht="14.25" customHeight="1" x14ac:dyDescent="0.3">
      <c r="A50" s="2">
        <v>49</v>
      </c>
      <c r="B50" s="2">
        <v>5</v>
      </c>
      <c r="C50" t="s">
        <v>45</v>
      </c>
      <c r="D50">
        <v>23000</v>
      </c>
      <c r="E50">
        <v>17</v>
      </c>
      <c r="F50" s="5">
        <v>142</v>
      </c>
      <c r="G50" s="5">
        <v>70</v>
      </c>
    </row>
    <row r="51" spans="1:7" ht="14.25" customHeight="1" x14ac:dyDescent="0.3">
      <c r="A51" s="2">
        <v>50</v>
      </c>
      <c r="B51" s="2">
        <v>5</v>
      </c>
      <c r="C51" t="s">
        <v>6</v>
      </c>
      <c r="D51">
        <v>30000</v>
      </c>
      <c r="E51">
        <v>17</v>
      </c>
      <c r="F51" s="5">
        <v>201</v>
      </c>
      <c r="G51" s="5">
        <v>12</v>
      </c>
    </row>
    <row r="52" spans="1:7" ht="14.25" customHeight="1" x14ac:dyDescent="0.3">
      <c r="A52" s="2">
        <v>51</v>
      </c>
      <c r="B52" s="2">
        <v>5</v>
      </c>
      <c r="C52" t="s">
        <v>40</v>
      </c>
      <c r="D52">
        <v>5678</v>
      </c>
      <c r="E52">
        <v>17</v>
      </c>
      <c r="F52" s="5">
        <v>193</v>
      </c>
      <c r="G52" s="5">
        <v>4444</v>
      </c>
    </row>
    <row r="53" spans="1:7" ht="14.25" customHeight="1" x14ac:dyDescent="0.3">
      <c r="A53" s="2">
        <v>52</v>
      </c>
      <c r="B53" s="2">
        <v>5</v>
      </c>
      <c r="C53" t="s">
        <v>6</v>
      </c>
      <c r="D53">
        <v>1234000</v>
      </c>
      <c r="E53">
        <v>17</v>
      </c>
      <c r="F53" s="5">
        <v>173</v>
      </c>
      <c r="G53" s="5">
        <v>12</v>
      </c>
    </row>
    <row r="54" spans="1:7" ht="14.25" customHeight="1" x14ac:dyDescent="0.3">
      <c r="A54" s="2">
        <v>53</v>
      </c>
      <c r="B54" s="2">
        <v>5</v>
      </c>
      <c r="C54" t="s">
        <v>53</v>
      </c>
      <c r="D54">
        <v>60000</v>
      </c>
      <c r="E54">
        <v>0.17</v>
      </c>
      <c r="F54" s="5">
        <v>169</v>
      </c>
      <c r="G54" s="5">
        <v>12</v>
      </c>
    </row>
    <row r="55" spans="1:7" ht="14.25" customHeight="1" x14ac:dyDescent="0.3">
      <c r="A55" s="2">
        <v>54</v>
      </c>
      <c r="B55" s="2">
        <v>2</v>
      </c>
      <c r="C55" t="s">
        <v>40</v>
      </c>
      <c r="D55">
        <v>80000</v>
      </c>
      <c r="E55">
        <v>0.17</v>
      </c>
      <c r="F55" s="5">
        <v>0</v>
      </c>
      <c r="G55" s="5">
        <v>22</v>
      </c>
    </row>
    <row r="56" spans="1:7" ht="14.25" customHeight="1" x14ac:dyDescent="0.3">
      <c r="A56" s="2">
        <v>55</v>
      </c>
      <c r="B56" s="2">
        <v>4</v>
      </c>
      <c r="C56" t="s">
        <v>45</v>
      </c>
      <c r="D56">
        <v>64000</v>
      </c>
      <c r="E56">
        <v>0.17</v>
      </c>
      <c r="F56" s="5">
        <v>449</v>
      </c>
      <c r="G56" s="5">
        <v>123</v>
      </c>
    </row>
    <row r="57" spans="1:7" ht="14.25" customHeight="1" x14ac:dyDescent="0.3">
      <c r="A57" s="2">
        <v>56</v>
      </c>
      <c r="B57" s="2">
        <v>3</v>
      </c>
      <c r="C57" t="s">
        <v>45</v>
      </c>
      <c r="D57">
        <v>64000</v>
      </c>
      <c r="E57">
        <v>0.17</v>
      </c>
      <c r="F57" s="5">
        <v>208</v>
      </c>
      <c r="G57" s="5">
        <v>123</v>
      </c>
    </row>
    <row r="58" spans="1:7" ht="14.25" customHeight="1" x14ac:dyDescent="0.3">
      <c r="A58" s="2">
        <v>57</v>
      </c>
      <c r="B58" s="2">
        <v>4</v>
      </c>
      <c r="C58" t="s">
        <v>6</v>
      </c>
      <c r="D58">
        <v>64000</v>
      </c>
      <c r="E58">
        <v>0.17</v>
      </c>
      <c r="F58" s="5">
        <v>413</v>
      </c>
      <c r="G58" s="5">
        <v>11</v>
      </c>
    </row>
    <row r="59" spans="1:7" ht="14.25" customHeight="1" x14ac:dyDescent="0.3">
      <c r="A59" s="2">
        <v>58</v>
      </c>
      <c r="B59" s="2">
        <v>5</v>
      </c>
      <c r="C59" t="s">
        <v>45</v>
      </c>
      <c r="D59">
        <v>63000</v>
      </c>
      <c r="E59">
        <v>0.17</v>
      </c>
      <c r="F59" s="5">
        <v>375</v>
      </c>
      <c r="G59" s="5">
        <v>12</v>
      </c>
    </row>
    <row r="60" spans="1:7" ht="14.25" customHeight="1" x14ac:dyDescent="0.3">
      <c r="A60" s="2">
        <v>59</v>
      </c>
      <c r="B60" s="2">
        <v>2</v>
      </c>
      <c r="C60" t="s">
        <v>6</v>
      </c>
      <c r="D60" s="22">
        <v>34000</v>
      </c>
      <c r="E60">
        <v>0.17</v>
      </c>
      <c r="F60" s="5">
        <v>281</v>
      </c>
      <c r="G60" s="5">
        <v>16</v>
      </c>
    </row>
    <row r="61" spans="1:7" ht="14.25" customHeight="1" x14ac:dyDescent="0.3">
      <c r="A61" s="2">
        <v>60</v>
      </c>
      <c r="B61" s="2">
        <v>5</v>
      </c>
      <c r="C61" t="s">
        <v>6</v>
      </c>
      <c r="D61">
        <v>70000</v>
      </c>
      <c r="E61">
        <v>0.17</v>
      </c>
      <c r="F61" s="5">
        <v>514</v>
      </c>
      <c r="G61" s="5">
        <v>35</v>
      </c>
    </row>
    <row r="62" spans="1:7" ht="14.25" customHeight="1" x14ac:dyDescent="0.3">
      <c r="A62" s="2">
        <v>61</v>
      </c>
      <c r="B62" s="2">
        <v>5</v>
      </c>
      <c r="C62" t="s">
        <v>40</v>
      </c>
      <c r="D62">
        <v>70000</v>
      </c>
      <c r="E62">
        <v>0.17</v>
      </c>
      <c r="F62" s="5">
        <v>194</v>
      </c>
      <c r="G62" s="5">
        <v>90</v>
      </c>
    </row>
    <row r="63" spans="1:7" ht="14.25" customHeight="1" x14ac:dyDescent="0.3">
      <c r="A63" s="2">
        <v>62</v>
      </c>
      <c r="B63" s="2">
        <v>5</v>
      </c>
      <c r="C63" t="s">
        <v>6</v>
      </c>
      <c r="D63">
        <v>75000</v>
      </c>
      <c r="E63">
        <v>0.17</v>
      </c>
      <c r="F63" s="5">
        <v>304</v>
      </c>
      <c r="G63" s="5">
        <v>80</v>
      </c>
    </row>
    <row r="64" spans="1:7" ht="14.25" customHeight="1" x14ac:dyDescent="0.3">
      <c r="A64" s="2">
        <v>63</v>
      </c>
      <c r="B64" s="2">
        <v>5</v>
      </c>
      <c r="C64" t="s">
        <v>6</v>
      </c>
      <c r="D64">
        <v>65000</v>
      </c>
      <c r="E64">
        <v>0.17</v>
      </c>
      <c r="F64" s="5">
        <v>236</v>
      </c>
      <c r="G64" s="5">
        <v>50</v>
      </c>
    </row>
    <row r="65" spans="1:7" ht="14.25" customHeight="1" x14ac:dyDescent="0.3">
      <c r="A65" s="2">
        <v>64</v>
      </c>
      <c r="B65" s="2">
        <v>4</v>
      </c>
      <c r="C65" t="s">
        <v>45</v>
      </c>
      <c r="D65">
        <v>35000</v>
      </c>
      <c r="E65">
        <v>0.17</v>
      </c>
      <c r="F65" s="5">
        <v>446</v>
      </c>
      <c r="G65" s="5">
        <v>70</v>
      </c>
    </row>
    <row r="66" spans="1:7" ht="14.25" customHeight="1" x14ac:dyDescent="0.3">
      <c r="A66" s="2">
        <v>65</v>
      </c>
      <c r="B66" s="2">
        <v>5</v>
      </c>
      <c r="C66" t="s">
        <v>45</v>
      </c>
      <c r="D66">
        <v>90000</v>
      </c>
      <c r="E66">
        <v>0.17</v>
      </c>
      <c r="F66" s="5">
        <v>236</v>
      </c>
      <c r="G66" s="5">
        <v>60</v>
      </c>
    </row>
    <row r="67" spans="1:7" ht="14.25" customHeight="1" x14ac:dyDescent="0.3">
      <c r="A67" s="2">
        <v>66</v>
      </c>
      <c r="B67" s="2">
        <v>5</v>
      </c>
      <c r="C67" t="s">
        <v>40</v>
      </c>
      <c r="D67">
        <v>90000</v>
      </c>
      <c r="E67">
        <v>0.17</v>
      </c>
      <c r="F67" s="5">
        <v>209</v>
      </c>
      <c r="G67" s="5">
        <v>65</v>
      </c>
    </row>
    <row r="68" spans="1:7" ht="14.25" customHeight="1" x14ac:dyDescent="0.3">
      <c r="A68" s="2">
        <v>67</v>
      </c>
      <c r="B68" s="2">
        <v>4</v>
      </c>
      <c r="C68" t="s">
        <v>45</v>
      </c>
      <c r="D68">
        <v>50000</v>
      </c>
      <c r="E68">
        <v>0.17</v>
      </c>
      <c r="F68" s="5">
        <v>150</v>
      </c>
      <c r="G68" s="5">
        <v>65</v>
      </c>
    </row>
    <row r="69" spans="1:7" ht="14.25" customHeight="1" x14ac:dyDescent="0.3">
      <c r="A69" s="2">
        <v>68</v>
      </c>
      <c r="B69" s="2">
        <v>7</v>
      </c>
      <c r="C69" t="s">
        <v>53</v>
      </c>
      <c r="D69">
        <v>65000</v>
      </c>
      <c r="E69">
        <v>0.17</v>
      </c>
      <c r="F69" s="5">
        <v>225</v>
      </c>
      <c r="G69" s="5">
        <v>55</v>
      </c>
    </row>
    <row r="70" spans="1:7" ht="14.25" customHeight="1" x14ac:dyDescent="0.3">
      <c r="A70" s="2">
        <v>69</v>
      </c>
      <c r="B70" s="2">
        <v>5</v>
      </c>
      <c r="C70" t="s">
        <v>40</v>
      </c>
      <c r="D70">
        <v>75000</v>
      </c>
      <c r="E70">
        <v>0.17</v>
      </c>
      <c r="F70" s="5">
        <v>217</v>
      </c>
      <c r="G70" s="5">
        <v>65</v>
      </c>
    </row>
    <row r="71" spans="1:7" ht="14.25" customHeight="1" x14ac:dyDescent="0.3">
      <c r="A71" s="2">
        <v>70</v>
      </c>
      <c r="B71" s="2">
        <v>5</v>
      </c>
      <c r="C71" t="s">
        <v>40</v>
      </c>
      <c r="D71">
        <v>50000</v>
      </c>
      <c r="E71">
        <v>0.17</v>
      </c>
      <c r="F71" s="5">
        <v>201</v>
      </c>
      <c r="G71" s="5">
        <v>75</v>
      </c>
    </row>
    <row r="72" spans="1:7" ht="14.25" customHeight="1" x14ac:dyDescent="0.3">
      <c r="A72" s="2">
        <v>71</v>
      </c>
      <c r="B72" s="2">
        <v>5</v>
      </c>
      <c r="C72" t="s">
        <v>45</v>
      </c>
      <c r="D72">
        <v>65000</v>
      </c>
      <c r="E72">
        <v>0.17</v>
      </c>
      <c r="F72" s="5">
        <v>177</v>
      </c>
      <c r="G72" s="5">
        <v>65</v>
      </c>
    </row>
    <row r="73" spans="1:7" ht="14.25" customHeight="1" x14ac:dyDescent="0.3">
      <c r="A73" s="2">
        <v>72</v>
      </c>
      <c r="B73" s="2">
        <v>5</v>
      </c>
      <c r="C73" t="s">
        <v>40</v>
      </c>
      <c r="D73">
        <v>65000</v>
      </c>
      <c r="E73">
        <v>0.17</v>
      </c>
      <c r="F73" s="5">
        <v>209</v>
      </c>
      <c r="G73" s="5">
        <v>75</v>
      </c>
    </row>
    <row r="74" spans="1:7" ht="14.25" customHeight="1" x14ac:dyDescent="0.3">
      <c r="A74" s="2">
        <v>73</v>
      </c>
      <c r="B74" s="2">
        <v>5</v>
      </c>
      <c r="C74" t="s">
        <v>40</v>
      </c>
      <c r="D74">
        <v>50000</v>
      </c>
      <c r="E74">
        <v>0.17</v>
      </c>
      <c r="F74" s="5">
        <v>213</v>
      </c>
      <c r="G74" s="5">
        <v>65</v>
      </c>
    </row>
    <row r="75" spans="1:7" ht="14.25" customHeight="1" x14ac:dyDescent="0.3">
      <c r="A75" s="2">
        <v>74</v>
      </c>
      <c r="B75" s="2">
        <v>5</v>
      </c>
      <c r="C75" t="s">
        <v>6</v>
      </c>
      <c r="D75">
        <v>75000</v>
      </c>
      <c r="E75">
        <v>0.17</v>
      </c>
      <c r="F75" s="5">
        <v>197</v>
      </c>
      <c r="G75" s="5">
        <v>56</v>
      </c>
    </row>
    <row r="76" spans="1:7" ht="14.25" customHeight="1" x14ac:dyDescent="0.3">
      <c r="A76" s="2">
        <v>75</v>
      </c>
      <c r="B76" s="2">
        <v>5</v>
      </c>
      <c r="C76" t="s">
        <v>40</v>
      </c>
      <c r="D76">
        <v>30000</v>
      </c>
      <c r="E76">
        <v>0.17</v>
      </c>
      <c r="F76" s="5">
        <v>201</v>
      </c>
      <c r="G76" s="5">
        <v>54</v>
      </c>
    </row>
    <row r="77" spans="1:7" ht="14.25" customHeight="1" x14ac:dyDescent="0.3">
      <c r="A77" s="2">
        <v>76</v>
      </c>
      <c r="B77" s="2">
        <v>4</v>
      </c>
      <c r="C77" t="s">
        <v>45</v>
      </c>
      <c r="D77">
        <v>56000</v>
      </c>
      <c r="E77">
        <v>0.17</v>
      </c>
      <c r="F77" s="5">
        <v>122</v>
      </c>
      <c r="G77" s="5">
        <v>65</v>
      </c>
    </row>
    <row r="78" spans="1:7" ht="14.25" customHeight="1" x14ac:dyDescent="0.3">
      <c r="A78" s="2">
        <v>77</v>
      </c>
      <c r="B78" s="2">
        <v>5</v>
      </c>
      <c r="C78" t="s">
        <v>40</v>
      </c>
      <c r="D78">
        <v>45000</v>
      </c>
      <c r="E78">
        <v>0.17</v>
      </c>
      <c r="F78" s="5">
        <v>130</v>
      </c>
      <c r="G78" s="5">
        <v>54</v>
      </c>
    </row>
    <row r="79" spans="1:7" ht="14.25" customHeight="1" x14ac:dyDescent="0.3">
      <c r="A79" s="2">
        <v>78</v>
      </c>
      <c r="B79" s="2">
        <v>5</v>
      </c>
      <c r="C79" t="s">
        <v>40</v>
      </c>
      <c r="D79">
        <v>55000</v>
      </c>
      <c r="E79">
        <v>0.17</v>
      </c>
      <c r="F79" s="5">
        <v>114</v>
      </c>
      <c r="G79" s="5">
        <v>54</v>
      </c>
    </row>
    <row r="80" spans="1:7" ht="14.25" customHeight="1" x14ac:dyDescent="0.3">
      <c r="A80" s="2">
        <v>79</v>
      </c>
      <c r="B80" s="2">
        <v>5</v>
      </c>
      <c r="C80" t="s">
        <v>40</v>
      </c>
      <c r="D80">
        <v>70000</v>
      </c>
      <c r="E80">
        <v>0.17</v>
      </c>
      <c r="F80" s="5">
        <v>154</v>
      </c>
      <c r="G80" s="5">
        <v>65</v>
      </c>
    </row>
    <row r="81" spans="1:7" ht="14.25" customHeight="1" x14ac:dyDescent="0.3">
      <c r="A81" s="2">
        <v>80</v>
      </c>
      <c r="B81" s="2">
        <v>4</v>
      </c>
      <c r="C81" t="s">
        <v>6</v>
      </c>
      <c r="D81">
        <v>50000</v>
      </c>
      <c r="E81">
        <v>0.17</v>
      </c>
      <c r="F81" s="5">
        <v>189</v>
      </c>
      <c r="G81" s="5">
        <v>75</v>
      </c>
    </row>
    <row r="82" spans="1:7" ht="14.25" customHeight="1" x14ac:dyDescent="0.3">
      <c r="A82" s="2">
        <v>81</v>
      </c>
      <c r="B82" s="2">
        <v>5</v>
      </c>
      <c r="C82" t="s">
        <v>53</v>
      </c>
      <c r="D82">
        <v>50000</v>
      </c>
      <c r="E82">
        <v>0.17</v>
      </c>
      <c r="F82" s="5">
        <v>205</v>
      </c>
      <c r="G82" s="5">
        <v>65</v>
      </c>
    </row>
    <row r="83" spans="1:7" ht="14.25" customHeight="1" x14ac:dyDescent="0.3">
      <c r="A83" s="2">
        <v>82</v>
      </c>
      <c r="B83" s="2">
        <v>5</v>
      </c>
      <c r="C83" t="s">
        <v>9</v>
      </c>
      <c r="D83">
        <v>56000</v>
      </c>
      <c r="E83">
        <v>0.17</v>
      </c>
      <c r="F83" s="5">
        <v>135</v>
      </c>
      <c r="G83" s="5">
        <v>55</v>
      </c>
    </row>
    <row r="84" spans="1:7" ht="14.25" customHeight="1" x14ac:dyDescent="0.3">
      <c r="A84" s="2">
        <v>83</v>
      </c>
      <c r="B84" s="2">
        <v>5</v>
      </c>
      <c r="C84" t="s">
        <v>45</v>
      </c>
      <c r="D84">
        <v>45000</v>
      </c>
      <c r="E84">
        <v>0.17</v>
      </c>
      <c r="F84" s="5">
        <v>134</v>
      </c>
      <c r="G84" s="5">
        <v>65</v>
      </c>
    </row>
    <row r="85" spans="1:7" ht="14.25" customHeight="1" x14ac:dyDescent="0.3">
      <c r="A85" s="2">
        <v>84</v>
      </c>
      <c r="B85" s="2">
        <v>5</v>
      </c>
      <c r="C85" t="s">
        <v>40</v>
      </c>
      <c r="D85">
        <v>34000</v>
      </c>
      <c r="E85">
        <v>0.17</v>
      </c>
      <c r="F85" s="5">
        <v>225</v>
      </c>
      <c r="G85" s="5">
        <v>56</v>
      </c>
    </row>
    <row r="86" spans="1:7" ht="14.25" customHeight="1" x14ac:dyDescent="0.3">
      <c r="A86" s="2">
        <v>85</v>
      </c>
      <c r="B86" s="2">
        <v>5</v>
      </c>
      <c r="C86" t="s">
        <v>40</v>
      </c>
      <c r="D86">
        <v>80000</v>
      </c>
      <c r="E86">
        <v>0.17</v>
      </c>
      <c r="F86" s="5">
        <v>173</v>
      </c>
      <c r="G86" s="5">
        <v>65</v>
      </c>
    </row>
    <row r="87" spans="1:7" ht="14.25" customHeight="1" x14ac:dyDescent="0.3">
      <c r="A87" s="2">
        <v>86</v>
      </c>
      <c r="B87" s="2">
        <v>5</v>
      </c>
      <c r="C87" t="s">
        <v>9</v>
      </c>
      <c r="D87">
        <v>45000</v>
      </c>
      <c r="E87">
        <v>0.17</v>
      </c>
      <c r="F87" s="5">
        <v>209</v>
      </c>
      <c r="G87" s="5">
        <v>65</v>
      </c>
    </row>
    <row r="88" spans="1:7" ht="14.25" customHeight="1" x14ac:dyDescent="0.3">
      <c r="A88" s="2">
        <v>87</v>
      </c>
      <c r="B88" s="2">
        <v>5</v>
      </c>
      <c r="C88" t="s">
        <v>45</v>
      </c>
      <c r="D88">
        <v>80000</v>
      </c>
      <c r="E88">
        <v>0.17</v>
      </c>
      <c r="F88" s="5">
        <v>177</v>
      </c>
      <c r="G88" s="5">
        <v>65</v>
      </c>
    </row>
    <row r="89" spans="1:7" ht="14.25" customHeight="1" x14ac:dyDescent="0.3">
      <c r="A89" s="2">
        <v>88</v>
      </c>
      <c r="B89" s="2">
        <v>7</v>
      </c>
      <c r="C89" t="s">
        <v>45</v>
      </c>
      <c r="D89">
        <v>45000</v>
      </c>
      <c r="E89">
        <v>0.17</v>
      </c>
      <c r="F89" s="5">
        <v>193</v>
      </c>
      <c r="G89" s="5">
        <v>56</v>
      </c>
    </row>
    <row r="90" spans="1:7" ht="14.25" customHeight="1" x14ac:dyDescent="0.3">
      <c r="A90" s="2">
        <v>89</v>
      </c>
      <c r="B90" s="2">
        <v>5</v>
      </c>
      <c r="C90" t="s">
        <v>45</v>
      </c>
      <c r="D90">
        <v>45000</v>
      </c>
      <c r="E90">
        <v>0.17</v>
      </c>
      <c r="F90" s="5">
        <v>185</v>
      </c>
      <c r="G90" s="5">
        <v>65</v>
      </c>
    </row>
    <row r="91" spans="1:7" ht="14.25" customHeight="1" x14ac:dyDescent="0.3">
      <c r="A91" s="2">
        <v>90</v>
      </c>
      <c r="B91" s="2">
        <v>7</v>
      </c>
      <c r="C91" t="s">
        <v>6</v>
      </c>
      <c r="D91">
        <v>40000</v>
      </c>
      <c r="E91">
        <v>0.17</v>
      </c>
      <c r="F91" s="5">
        <v>221</v>
      </c>
      <c r="G91" s="5">
        <v>65</v>
      </c>
    </row>
    <row r="92" spans="1:7" ht="14.25" customHeight="1" x14ac:dyDescent="0.3">
      <c r="A92" s="2">
        <v>91</v>
      </c>
      <c r="B92" s="2">
        <v>5</v>
      </c>
      <c r="C92" t="s">
        <v>40</v>
      </c>
      <c r="D92">
        <v>50000</v>
      </c>
      <c r="E92">
        <v>0.17</v>
      </c>
      <c r="F92" s="5">
        <v>177</v>
      </c>
      <c r="G92" s="5">
        <v>54</v>
      </c>
    </row>
    <row r="93" spans="1:7" ht="14.25" customHeight="1" x14ac:dyDescent="0.3">
      <c r="A93" s="2">
        <v>92</v>
      </c>
      <c r="B93" s="2">
        <v>5</v>
      </c>
      <c r="C93" t="s">
        <v>40</v>
      </c>
      <c r="D93">
        <v>45000</v>
      </c>
      <c r="E93">
        <v>0.17</v>
      </c>
      <c r="F93" s="5">
        <v>135</v>
      </c>
      <c r="G93" s="5">
        <v>23</v>
      </c>
    </row>
    <row r="94" spans="1:7" ht="14.25" customHeight="1" x14ac:dyDescent="0.3">
      <c r="A94" s="2">
        <v>93</v>
      </c>
      <c r="B94" s="2">
        <v>4</v>
      </c>
      <c r="C94" t="s">
        <v>45</v>
      </c>
      <c r="D94">
        <v>40000</v>
      </c>
      <c r="E94">
        <v>0.17</v>
      </c>
      <c r="F94" s="5">
        <v>134</v>
      </c>
      <c r="G94" s="5">
        <v>23</v>
      </c>
    </row>
    <row r="95" spans="1:7" ht="14.25" customHeight="1" x14ac:dyDescent="0.3">
      <c r="A95" s="2">
        <v>94</v>
      </c>
      <c r="B95" s="2">
        <v>5</v>
      </c>
      <c r="C95" t="s">
        <v>40</v>
      </c>
      <c r="D95">
        <v>40000</v>
      </c>
      <c r="E95">
        <v>0.17</v>
      </c>
      <c r="F95" s="5">
        <v>177</v>
      </c>
      <c r="G95" s="5">
        <v>23</v>
      </c>
    </row>
    <row r="96" spans="1:7" ht="14.25" customHeight="1" x14ac:dyDescent="0.3">
      <c r="A96" s="2">
        <v>95</v>
      </c>
      <c r="B96" s="2">
        <v>5</v>
      </c>
      <c r="C96" t="s">
        <v>40</v>
      </c>
      <c r="D96">
        <v>40000</v>
      </c>
      <c r="E96">
        <v>0.17</v>
      </c>
      <c r="F96" s="5">
        <v>158</v>
      </c>
      <c r="G96" s="5">
        <v>23</v>
      </c>
    </row>
    <row r="97" spans="1:7" ht="14.25" customHeight="1" x14ac:dyDescent="0.3">
      <c r="A97" s="2">
        <v>96</v>
      </c>
      <c r="B97" s="2">
        <v>5</v>
      </c>
      <c r="C97" t="s">
        <v>40</v>
      </c>
      <c r="D97">
        <v>40000</v>
      </c>
      <c r="E97">
        <v>0.17</v>
      </c>
      <c r="F97" s="5">
        <v>217</v>
      </c>
      <c r="G97" s="5">
        <v>23</v>
      </c>
    </row>
    <row r="98" spans="1:7" ht="14.25" customHeight="1" x14ac:dyDescent="0.3">
      <c r="A98" s="2">
        <v>97</v>
      </c>
      <c r="B98" s="2">
        <v>5</v>
      </c>
      <c r="C98" t="s">
        <v>40</v>
      </c>
      <c r="D98">
        <v>40000</v>
      </c>
      <c r="E98">
        <v>0.17</v>
      </c>
      <c r="F98" s="5">
        <v>225</v>
      </c>
      <c r="G98" s="5">
        <v>23</v>
      </c>
    </row>
    <row r="99" spans="1:7" ht="14.25" customHeight="1" x14ac:dyDescent="0.3">
      <c r="A99" s="2">
        <v>98</v>
      </c>
      <c r="B99" s="2">
        <v>5</v>
      </c>
      <c r="C99" t="s">
        <v>40</v>
      </c>
      <c r="D99">
        <v>40000</v>
      </c>
      <c r="E99">
        <v>0.17</v>
      </c>
      <c r="F99" s="5">
        <v>221</v>
      </c>
      <c r="G99" s="5">
        <v>23</v>
      </c>
    </row>
    <row r="100" spans="1:7" ht="14.25" customHeight="1" x14ac:dyDescent="0.3">
      <c r="A100" s="2">
        <v>99</v>
      </c>
      <c r="B100" s="2">
        <v>5</v>
      </c>
      <c r="C100" t="s">
        <v>40</v>
      </c>
      <c r="D100">
        <v>50000</v>
      </c>
      <c r="E100">
        <v>0.17</v>
      </c>
      <c r="F100" s="5">
        <v>225</v>
      </c>
      <c r="G100" s="5">
        <v>23</v>
      </c>
    </row>
    <row r="101" spans="1:7" ht="14.25" customHeight="1" x14ac:dyDescent="0.3">
      <c r="A101" s="2">
        <v>100</v>
      </c>
      <c r="B101" s="2">
        <v>5</v>
      </c>
      <c r="C101" t="s">
        <v>40</v>
      </c>
      <c r="D101">
        <v>90000</v>
      </c>
      <c r="E101">
        <v>0.17</v>
      </c>
      <c r="F101" s="5">
        <v>217</v>
      </c>
      <c r="G101" s="5">
        <v>23</v>
      </c>
    </row>
    <row r="102" spans="1:7" ht="14.25" customHeight="1" x14ac:dyDescent="0.3">
      <c r="A102" s="2">
        <v>101</v>
      </c>
      <c r="B102" s="2">
        <v>5</v>
      </c>
      <c r="C102" t="s">
        <v>6</v>
      </c>
      <c r="D102">
        <v>40000</v>
      </c>
      <c r="E102">
        <v>0.17</v>
      </c>
      <c r="F102" s="5">
        <v>217</v>
      </c>
      <c r="G102" s="5">
        <v>23</v>
      </c>
    </row>
    <row r="103" spans="1:7" ht="14.25" customHeight="1" x14ac:dyDescent="0.3">
      <c r="A103" s="2">
        <v>102</v>
      </c>
      <c r="B103" s="2">
        <v>4</v>
      </c>
      <c r="C103" t="s">
        <v>6</v>
      </c>
      <c r="D103">
        <v>90000</v>
      </c>
      <c r="E103">
        <v>0.17</v>
      </c>
      <c r="F103" s="5">
        <v>331</v>
      </c>
      <c r="G103" s="5">
        <v>100</v>
      </c>
    </row>
    <row r="104" spans="1:7" ht="14.25" customHeight="1" x14ac:dyDescent="0.3">
      <c r="A104" s="2">
        <v>103</v>
      </c>
      <c r="B104" s="2">
        <v>5</v>
      </c>
      <c r="C104" t="s">
        <v>40</v>
      </c>
      <c r="D104">
        <v>75000</v>
      </c>
      <c r="E104">
        <v>0.17</v>
      </c>
      <c r="F104" s="5">
        <v>343</v>
      </c>
      <c r="G104" s="5">
        <v>65</v>
      </c>
    </row>
    <row r="105" spans="1:7" ht="14.25" customHeight="1" x14ac:dyDescent="0.3">
      <c r="A105" s="2">
        <v>104</v>
      </c>
      <c r="B105" s="2">
        <v>5</v>
      </c>
      <c r="C105" t="s">
        <v>6</v>
      </c>
      <c r="D105">
        <v>50000</v>
      </c>
      <c r="E105">
        <v>0.17</v>
      </c>
      <c r="F105" s="5">
        <v>221</v>
      </c>
      <c r="G105" s="5">
        <v>50</v>
      </c>
    </row>
    <row r="106" spans="1:7" ht="14.25" customHeight="1" x14ac:dyDescent="0.3">
      <c r="A106" s="2">
        <v>105</v>
      </c>
      <c r="B106" s="2">
        <v>5</v>
      </c>
      <c r="C106" t="s">
        <v>45</v>
      </c>
      <c r="D106">
        <v>100000</v>
      </c>
      <c r="E106">
        <v>0.17</v>
      </c>
      <c r="F106" s="5">
        <v>343</v>
      </c>
      <c r="G106" s="5">
        <v>55</v>
      </c>
    </row>
    <row r="107" spans="1:7" ht="14.25" customHeight="1" x14ac:dyDescent="0.3">
      <c r="A107" s="2">
        <v>106</v>
      </c>
      <c r="B107" s="2">
        <v>5</v>
      </c>
      <c r="C107" t="s">
        <v>40</v>
      </c>
      <c r="D107">
        <v>90000</v>
      </c>
      <c r="E107">
        <v>0.17</v>
      </c>
      <c r="F107" s="5">
        <v>335</v>
      </c>
      <c r="G107" s="5">
        <v>60</v>
      </c>
    </row>
    <row r="108" spans="1:7" ht="14.25" customHeight="1" x14ac:dyDescent="0.3">
      <c r="A108" s="2">
        <v>107</v>
      </c>
      <c r="B108" s="2">
        <v>4</v>
      </c>
      <c r="C108" t="s">
        <v>45</v>
      </c>
      <c r="D108">
        <v>70000</v>
      </c>
      <c r="E108">
        <v>0.17</v>
      </c>
      <c r="F108" s="5">
        <v>213</v>
      </c>
      <c r="G108" s="5">
        <v>77</v>
      </c>
    </row>
    <row r="109" spans="1:7" ht="14.25" customHeight="1" x14ac:dyDescent="0.3">
      <c r="A109" s="2">
        <v>108</v>
      </c>
      <c r="B109" s="2">
        <v>7</v>
      </c>
      <c r="C109" t="s">
        <v>53</v>
      </c>
      <c r="D109">
        <v>65000</v>
      </c>
      <c r="E109">
        <v>0.17</v>
      </c>
      <c r="F109" s="5">
        <v>284</v>
      </c>
      <c r="G109" s="5">
        <v>55</v>
      </c>
    </row>
    <row r="110" spans="1:7" ht="14.25" customHeight="1" x14ac:dyDescent="0.3">
      <c r="A110" s="2">
        <v>109</v>
      </c>
      <c r="B110" s="2">
        <v>5</v>
      </c>
      <c r="C110" t="s">
        <v>82</v>
      </c>
      <c r="D110">
        <v>55000</v>
      </c>
      <c r="E110">
        <v>0.17</v>
      </c>
      <c r="F110" s="5">
        <v>248</v>
      </c>
      <c r="G110" s="5">
        <v>56</v>
      </c>
    </row>
    <row r="111" spans="1:7" ht="14.25" customHeight="1" x14ac:dyDescent="0.3">
      <c r="A111" s="2">
        <v>110</v>
      </c>
      <c r="B111" s="2">
        <v>5</v>
      </c>
      <c r="C111" t="s">
        <v>6</v>
      </c>
      <c r="D111" t="s">
        <v>205</v>
      </c>
      <c r="E111">
        <v>0.17</v>
      </c>
      <c r="F111" s="5">
        <v>217</v>
      </c>
      <c r="G111" s="5">
        <v>44</v>
      </c>
    </row>
    <row r="112" spans="1:7" ht="14.25" customHeight="1" x14ac:dyDescent="0.3">
      <c r="A112" s="2">
        <v>111</v>
      </c>
      <c r="B112" s="2">
        <v>5</v>
      </c>
      <c r="C112" t="s">
        <v>70</v>
      </c>
      <c r="D112" t="s">
        <v>206</v>
      </c>
      <c r="E112">
        <v>0.17</v>
      </c>
      <c r="F112" s="5">
        <v>260</v>
      </c>
      <c r="G112" s="5">
        <v>43</v>
      </c>
    </row>
    <row r="113" spans="1:7" ht="14.25" customHeight="1" x14ac:dyDescent="0.3">
      <c r="A113" s="2">
        <v>112</v>
      </c>
      <c r="B113" s="2">
        <v>7</v>
      </c>
      <c r="C113" t="s">
        <v>40</v>
      </c>
      <c r="D113" t="s">
        <v>207</v>
      </c>
      <c r="E113">
        <v>0.17</v>
      </c>
      <c r="F113" s="5">
        <v>548</v>
      </c>
      <c r="G113" s="5">
        <v>45</v>
      </c>
    </row>
    <row r="114" spans="1:7" ht="14.25" customHeight="1" x14ac:dyDescent="0.3">
      <c r="A114" s="2">
        <v>113</v>
      </c>
      <c r="B114" s="2">
        <v>5</v>
      </c>
      <c r="C114" t="s">
        <v>9</v>
      </c>
      <c r="D114">
        <v>234567</v>
      </c>
      <c r="E114">
        <v>0.17</v>
      </c>
      <c r="F114" s="5">
        <v>272</v>
      </c>
      <c r="G114" s="5">
        <v>45</v>
      </c>
    </row>
    <row r="115" spans="1:7" ht="14.25" customHeight="1" x14ac:dyDescent="0.3">
      <c r="A115" s="2">
        <v>114</v>
      </c>
      <c r="B115" s="2">
        <v>5</v>
      </c>
      <c r="C115" t="s">
        <v>9</v>
      </c>
      <c r="D115" t="s">
        <v>208</v>
      </c>
      <c r="E115">
        <v>0.17</v>
      </c>
      <c r="F115" s="5">
        <v>303</v>
      </c>
      <c r="G115" s="5" t="s">
        <v>210</v>
      </c>
    </row>
    <row r="116" spans="1:7" ht="14.25" customHeight="1" x14ac:dyDescent="0.3">
      <c r="A116" s="2">
        <v>115</v>
      </c>
      <c r="B116" s="2">
        <v>2</v>
      </c>
      <c r="C116" t="s">
        <v>70</v>
      </c>
      <c r="D116" t="s">
        <v>209</v>
      </c>
      <c r="E116">
        <v>0.17</v>
      </c>
      <c r="F116" s="5">
        <v>319</v>
      </c>
      <c r="G116" s="5" t="s">
        <v>212</v>
      </c>
    </row>
    <row r="117" spans="1:7" ht="14.25" customHeight="1" x14ac:dyDescent="0.3">
      <c r="A117" s="2">
        <v>116</v>
      </c>
      <c r="B117" s="2">
        <v>5</v>
      </c>
      <c r="C117" t="s">
        <v>40</v>
      </c>
      <c r="D117" t="s">
        <v>211</v>
      </c>
      <c r="E117">
        <v>0.17</v>
      </c>
      <c r="F117" s="5">
        <v>307</v>
      </c>
      <c r="G117" s="5" t="s">
        <v>213</v>
      </c>
    </row>
    <row r="118" spans="1:7" ht="14.25" customHeight="1" x14ac:dyDescent="0.3">
      <c r="A118" s="2">
        <v>117</v>
      </c>
      <c r="B118" s="2">
        <v>7</v>
      </c>
      <c r="C118" t="s">
        <v>6</v>
      </c>
      <c r="D118">
        <v>43434343</v>
      </c>
      <c r="E118">
        <v>0.17</v>
      </c>
      <c r="F118" s="5">
        <v>265</v>
      </c>
      <c r="G118" s="5" t="s">
        <v>215</v>
      </c>
    </row>
    <row r="119" spans="1:7" ht="14.25" customHeight="1" x14ac:dyDescent="0.3">
      <c r="A119" s="2">
        <v>118</v>
      </c>
      <c r="B119" s="2">
        <v>5</v>
      </c>
      <c r="C119" t="s">
        <v>45</v>
      </c>
      <c r="D119" t="s">
        <v>214</v>
      </c>
      <c r="E119">
        <v>0.17</v>
      </c>
      <c r="F119" s="5">
        <v>236</v>
      </c>
      <c r="G119" s="5">
        <v>121212</v>
      </c>
    </row>
    <row r="120" spans="1:7" ht="14.25" customHeight="1" x14ac:dyDescent="0.3">
      <c r="A120" s="2">
        <v>119</v>
      </c>
      <c r="B120" s="2">
        <v>5</v>
      </c>
      <c r="C120" t="s">
        <v>9</v>
      </c>
      <c r="D120">
        <v>21121</v>
      </c>
      <c r="E120">
        <v>0.17</v>
      </c>
      <c r="F120" s="5">
        <v>460</v>
      </c>
      <c r="G120" s="5">
        <v>232</v>
      </c>
    </row>
    <row r="121" spans="1:7" ht="14.25" customHeight="1" x14ac:dyDescent="0.3">
      <c r="A121" s="2">
        <v>120</v>
      </c>
      <c r="B121" s="2">
        <v>2</v>
      </c>
      <c r="C121" t="s">
        <v>40</v>
      </c>
      <c r="D121">
        <v>343434</v>
      </c>
      <c r="E121">
        <v>0.17</v>
      </c>
      <c r="F121" s="5">
        <v>236</v>
      </c>
      <c r="G121" s="5">
        <v>4</v>
      </c>
    </row>
    <row r="122" spans="1:7" ht="14.25" customHeight="1" x14ac:dyDescent="0.3">
      <c r="A122" s="2">
        <v>121</v>
      </c>
      <c r="B122" s="2">
        <v>5</v>
      </c>
      <c r="C122" t="s">
        <v>40</v>
      </c>
      <c r="D122">
        <v>4</v>
      </c>
      <c r="E122">
        <v>0.17</v>
      </c>
      <c r="F122" s="5">
        <v>268</v>
      </c>
      <c r="G122" s="5">
        <v>56</v>
      </c>
    </row>
    <row r="123" spans="1:7" ht="14.25" customHeight="1" x14ac:dyDescent="0.3">
      <c r="A123" s="2">
        <v>122</v>
      </c>
      <c r="B123" s="2">
        <v>5</v>
      </c>
      <c r="C123" t="s">
        <v>53</v>
      </c>
      <c r="D123">
        <v>60000</v>
      </c>
      <c r="E123" t="s">
        <v>216</v>
      </c>
      <c r="F123" s="5">
        <v>351</v>
      </c>
      <c r="G123" s="5">
        <v>44</v>
      </c>
    </row>
    <row r="124" spans="1:7" ht="14.25" customHeight="1" x14ac:dyDescent="0.3">
      <c r="A124" s="2">
        <v>123</v>
      </c>
      <c r="B124" s="2">
        <v>5</v>
      </c>
      <c r="C124">
        <v>4</v>
      </c>
      <c r="D124">
        <v>66577</v>
      </c>
      <c r="E124" t="s">
        <v>217</v>
      </c>
      <c r="F124" s="5">
        <v>232</v>
      </c>
      <c r="G124" s="5">
        <v>66</v>
      </c>
    </row>
    <row r="125" spans="1:7" ht="14.25" customHeight="1" x14ac:dyDescent="0.3">
      <c r="A125" s="2"/>
      <c r="B125" s="2">
        <v>2</v>
      </c>
      <c r="C125" t="s">
        <v>45</v>
      </c>
      <c r="D125">
        <v>55000</v>
      </c>
      <c r="E125">
        <v>4</v>
      </c>
      <c r="F125" s="5">
        <v>0</v>
      </c>
      <c r="G125" s="5">
        <v>65</v>
      </c>
    </row>
    <row r="126" spans="1:7" ht="14.25" customHeight="1" x14ac:dyDescent="0.3">
      <c r="A126" s="2"/>
      <c r="B126" s="2">
        <v>5</v>
      </c>
      <c r="C126" t="s">
        <v>40</v>
      </c>
      <c r="D126">
        <v>60000</v>
      </c>
      <c r="E126">
        <v>0.17</v>
      </c>
      <c r="F126" s="5">
        <v>260</v>
      </c>
      <c r="G126" s="5">
        <v>56</v>
      </c>
    </row>
    <row r="127" spans="1:7" ht="14.25" customHeight="1" x14ac:dyDescent="0.3">
      <c r="A127" s="2"/>
      <c r="B127" s="2">
        <v>5</v>
      </c>
      <c r="C127" t="s">
        <v>40</v>
      </c>
      <c r="D127">
        <v>65000</v>
      </c>
      <c r="E127">
        <v>0.17</v>
      </c>
      <c r="F127" s="5">
        <v>232</v>
      </c>
      <c r="G127" s="5">
        <v>65</v>
      </c>
    </row>
    <row r="128" spans="1:7" ht="14.25" customHeight="1" x14ac:dyDescent="0.3">
      <c r="A128" s="2"/>
      <c r="B128" s="2">
        <v>5</v>
      </c>
      <c r="C128" t="s">
        <v>6</v>
      </c>
      <c r="D128">
        <v>65000</v>
      </c>
      <c r="E128">
        <v>0.17</v>
      </c>
      <c r="F128" s="5">
        <v>221</v>
      </c>
      <c r="G128" s="5">
        <v>65</v>
      </c>
    </row>
    <row r="129" spans="1:7" ht="14.25" customHeight="1" x14ac:dyDescent="0.3">
      <c r="A129" s="2"/>
      <c r="B129" s="2">
        <v>5</v>
      </c>
      <c r="C129" t="s">
        <v>40</v>
      </c>
      <c r="D129">
        <v>65400</v>
      </c>
      <c r="E129">
        <v>0.17</v>
      </c>
      <c r="F129" s="5">
        <v>209</v>
      </c>
      <c r="G129" s="5">
        <v>65</v>
      </c>
    </row>
    <row r="130" spans="1:7" ht="14.25" customHeight="1" x14ac:dyDescent="0.3">
      <c r="A130" s="2"/>
      <c r="B130" s="2">
        <v>5</v>
      </c>
      <c r="C130" t="s">
        <v>45</v>
      </c>
      <c r="D130">
        <v>65000</v>
      </c>
      <c r="E130">
        <v>0.17</v>
      </c>
      <c r="F130" s="5">
        <v>217</v>
      </c>
      <c r="G130" s="5">
        <v>5454</v>
      </c>
    </row>
    <row r="131" spans="1:7" ht="14.25" customHeight="1" x14ac:dyDescent="0.3">
      <c r="A131" s="2"/>
      <c r="B131" s="2">
        <v>5</v>
      </c>
      <c r="C131" t="s">
        <v>40</v>
      </c>
      <c r="D131">
        <v>64545</v>
      </c>
      <c r="E131">
        <v>0.17</v>
      </c>
      <c r="F131" s="5">
        <v>248</v>
      </c>
      <c r="G131" s="5">
        <v>65</v>
      </c>
    </row>
    <row r="132" spans="1:7" ht="14.25" customHeight="1" x14ac:dyDescent="0.3">
      <c r="A132" s="2"/>
      <c r="B132" s="2">
        <v>6</v>
      </c>
      <c r="C132" t="s">
        <v>6</v>
      </c>
      <c r="D132">
        <v>60000</v>
      </c>
      <c r="E132">
        <v>0.17</v>
      </c>
      <c r="F132" s="5">
        <v>366</v>
      </c>
      <c r="G132" s="5">
        <v>76</v>
      </c>
    </row>
    <row r="133" spans="1:7" ht="14.25" customHeight="1" x14ac:dyDescent="0.3">
      <c r="A133" s="2"/>
      <c r="B133" s="2">
        <v>2</v>
      </c>
      <c r="C133" t="s">
        <v>6</v>
      </c>
      <c r="D133">
        <v>65000</v>
      </c>
      <c r="E133">
        <v>0.17</v>
      </c>
      <c r="F133" s="5">
        <v>130</v>
      </c>
      <c r="G133" s="5">
        <v>45</v>
      </c>
    </row>
    <row r="134" spans="1:7" ht="14.25" customHeight="1" x14ac:dyDescent="0.3">
      <c r="A134" s="2"/>
      <c r="B134" s="2">
        <v>2</v>
      </c>
      <c r="C134" t="s">
        <v>53</v>
      </c>
      <c r="D134">
        <v>120000</v>
      </c>
      <c r="E134">
        <v>0.17</v>
      </c>
      <c r="F134" s="5">
        <v>122</v>
      </c>
      <c r="G134" s="5">
        <v>65</v>
      </c>
    </row>
    <row r="135" spans="1:7" ht="14.25" customHeight="1" x14ac:dyDescent="0.3">
      <c r="A135" s="2"/>
      <c r="B135" s="2">
        <v>6</v>
      </c>
      <c r="C135" t="s">
        <v>40</v>
      </c>
      <c r="D135">
        <v>65000</v>
      </c>
      <c r="E135">
        <v>0.17</v>
      </c>
      <c r="F135" s="5">
        <v>252</v>
      </c>
      <c r="G135" s="5">
        <v>65</v>
      </c>
    </row>
    <row r="136" spans="1:7" ht="14.25" customHeight="1" x14ac:dyDescent="0.3">
      <c r="A136" s="2"/>
      <c r="B136" s="2">
        <v>5</v>
      </c>
      <c r="C136" t="s">
        <v>45</v>
      </c>
      <c r="D136">
        <v>65000</v>
      </c>
      <c r="E136">
        <v>0.17</v>
      </c>
      <c r="F136" s="5">
        <v>280</v>
      </c>
      <c r="G136" s="5">
        <v>65</v>
      </c>
    </row>
    <row r="137" spans="1:7" ht="14.25" customHeight="1" x14ac:dyDescent="0.3">
      <c r="A137" s="2"/>
      <c r="B137" s="2">
        <v>5</v>
      </c>
      <c r="C137" t="s">
        <v>40</v>
      </c>
      <c r="D137">
        <v>65000</v>
      </c>
      <c r="E137">
        <v>0.17</v>
      </c>
      <c r="F137" s="5">
        <v>339</v>
      </c>
      <c r="G137" s="5">
        <v>54</v>
      </c>
    </row>
    <row r="138" spans="1:7" ht="14.25" customHeight="1" x14ac:dyDescent="0.3">
      <c r="A138" s="2"/>
      <c r="B138" s="2">
        <v>2</v>
      </c>
      <c r="C138" t="s">
        <v>9</v>
      </c>
      <c r="D138">
        <v>65444</v>
      </c>
      <c r="E138">
        <v>0.17</v>
      </c>
      <c r="F138" s="5">
        <v>221</v>
      </c>
      <c r="G138" s="5">
        <v>65</v>
      </c>
    </row>
    <row r="139" spans="1:7" ht="14.25" customHeight="1" x14ac:dyDescent="0.3">
      <c r="A139" s="2"/>
      <c r="B139" s="2">
        <v>2</v>
      </c>
      <c r="C139" t="s">
        <v>45</v>
      </c>
      <c r="D139">
        <v>65000</v>
      </c>
      <c r="E139">
        <v>0.17</v>
      </c>
      <c r="F139" s="5">
        <v>185</v>
      </c>
      <c r="G139" s="5">
        <v>67</v>
      </c>
    </row>
    <row r="140" spans="1:7" ht="14.25" customHeight="1" x14ac:dyDescent="0.3">
      <c r="A140" s="2"/>
      <c r="B140" s="2">
        <v>2</v>
      </c>
      <c r="C140" t="s">
        <v>45</v>
      </c>
      <c r="D140" t="s">
        <v>218</v>
      </c>
      <c r="E140">
        <v>0.17</v>
      </c>
      <c r="F140" s="5">
        <v>260</v>
      </c>
      <c r="G140" s="5" t="s">
        <v>220</v>
      </c>
    </row>
    <row r="141" spans="1:7" ht="14.25" customHeight="1" x14ac:dyDescent="0.3">
      <c r="A141" s="2"/>
      <c r="B141" s="2">
        <v>2</v>
      </c>
      <c r="C141" t="s">
        <v>45</v>
      </c>
      <c r="D141" t="s">
        <v>218</v>
      </c>
      <c r="E141">
        <v>0.17</v>
      </c>
      <c r="F141" s="5">
        <v>142</v>
      </c>
      <c r="G141" s="5" t="s">
        <v>221</v>
      </c>
    </row>
    <row r="142" spans="1:7" ht="14.25" customHeight="1" x14ac:dyDescent="0.3">
      <c r="A142" s="2"/>
      <c r="B142" s="2">
        <v>2</v>
      </c>
      <c r="C142" t="s">
        <v>40</v>
      </c>
      <c r="D142" t="s">
        <v>219</v>
      </c>
      <c r="E142">
        <v>0.17</v>
      </c>
      <c r="F142" s="5">
        <v>0</v>
      </c>
      <c r="G142" s="5">
        <v>50</v>
      </c>
    </row>
    <row r="143" spans="1:7" ht="14.25" customHeight="1" x14ac:dyDescent="0.3">
      <c r="A143" s="2"/>
      <c r="B143" s="2">
        <v>2</v>
      </c>
      <c r="C143" t="s">
        <v>6</v>
      </c>
      <c r="D143">
        <v>5400</v>
      </c>
      <c r="E143">
        <v>0.17</v>
      </c>
      <c r="F143" s="5">
        <v>0</v>
      </c>
      <c r="G143" s="5">
        <v>50</v>
      </c>
    </row>
    <row r="144" spans="1:7" ht="14.25" customHeight="1" x14ac:dyDescent="0.3">
      <c r="A144" s="2"/>
      <c r="B144" s="2">
        <v>5</v>
      </c>
      <c r="C144" t="s">
        <v>79</v>
      </c>
      <c r="D144">
        <v>6000</v>
      </c>
      <c r="E144">
        <v>0.17</v>
      </c>
      <c r="F144" s="5">
        <v>225</v>
      </c>
      <c r="G144" s="5">
        <v>25</v>
      </c>
    </row>
    <row r="145" spans="1:7" ht="14.25" customHeight="1" x14ac:dyDescent="0.3">
      <c r="A145" s="2"/>
      <c r="B145" s="2">
        <v>2</v>
      </c>
      <c r="C145" t="s">
        <v>9</v>
      </c>
      <c r="D145">
        <v>60000</v>
      </c>
      <c r="E145">
        <v>0.17</v>
      </c>
      <c r="F145" s="5">
        <v>0</v>
      </c>
      <c r="G145" s="5">
        <v>565</v>
      </c>
    </row>
    <row r="146" spans="1:7" ht="14.25" customHeight="1" x14ac:dyDescent="0.3">
      <c r="A146" s="2"/>
      <c r="B146" s="2">
        <v>2</v>
      </c>
      <c r="C146" t="s">
        <v>70</v>
      </c>
      <c r="D146">
        <v>90000</v>
      </c>
      <c r="E146">
        <v>0.17</v>
      </c>
      <c r="F146" s="5">
        <v>0</v>
      </c>
      <c r="G146" s="5">
        <v>56</v>
      </c>
    </row>
    <row r="147" spans="1:7" ht="14.25" customHeight="1" x14ac:dyDescent="0.3">
      <c r="A147" s="2"/>
      <c r="B147" s="2">
        <v>7</v>
      </c>
      <c r="C147" t="s">
        <v>53</v>
      </c>
      <c r="D147">
        <v>52542</v>
      </c>
      <c r="E147">
        <v>0.17</v>
      </c>
      <c r="F147" s="5">
        <v>260</v>
      </c>
      <c r="G147" s="5"/>
    </row>
    <row r="148" spans="1:7" ht="14.25" customHeight="1" x14ac:dyDescent="0.3">
      <c r="A148" s="2"/>
      <c r="B148" s="2">
        <v>2</v>
      </c>
      <c r="D148" t="s">
        <v>222</v>
      </c>
      <c r="E148">
        <v>0.17</v>
      </c>
      <c r="F148" s="5">
        <v>221</v>
      </c>
      <c r="G148" s="5"/>
    </row>
    <row r="149" spans="1:7" ht="14.25" customHeight="1" x14ac:dyDescent="0.3">
      <c r="A149" s="2"/>
      <c r="B149" s="2">
        <v>5</v>
      </c>
      <c r="D149">
        <v>6565656</v>
      </c>
      <c r="E149">
        <v>0.17</v>
      </c>
      <c r="F149" s="5">
        <v>118</v>
      </c>
      <c r="G149" s="5"/>
    </row>
    <row r="150" spans="1:7" ht="14.25" customHeight="1" x14ac:dyDescent="0.3">
      <c r="A150" s="2"/>
      <c r="B150" s="2">
        <v>2</v>
      </c>
      <c r="D150">
        <v>90000</v>
      </c>
      <c r="E150">
        <v>0.17</v>
      </c>
      <c r="F150" s="5">
        <v>264</v>
      </c>
      <c r="G150" s="5"/>
    </row>
    <row r="151" spans="1:7" ht="14.25" customHeight="1" x14ac:dyDescent="0.3">
      <c r="A151" s="2"/>
      <c r="B151" s="2">
        <v>5</v>
      </c>
      <c r="E151">
        <v>0.17</v>
      </c>
      <c r="F151" s="5">
        <v>221</v>
      </c>
      <c r="G151" s="5"/>
    </row>
    <row r="152" spans="1:7" ht="14.25" customHeight="1" x14ac:dyDescent="0.3">
      <c r="A152" s="2"/>
      <c r="B152" s="2">
        <v>2</v>
      </c>
      <c r="E152">
        <v>0.17</v>
      </c>
      <c r="F152" s="5">
        <v>221</v>
      </c>
      <c r="G152" s="5"/>
    </row>
    <row r="153" spans="1:7" ht="14.25" customHeight="1" x14ac:dyDescent="0.3">
      <c r="A153" s="2"/>
      <c r="B153" s="2">
        <v>2</v>
      </c>
      <c r="E153">
        <v>0.17</v>
      </c>
      <c r="F153" s="5">
        <v>0</v>
      </c>
      <c r="G153" s="5"/>
    </row>
    <row r="154" spans="1:7" ht="14.25" customHeight="1" x14ac:dyDescent="0.3">
      <c r="A154" s="2"/>
      <c r="B154" s="2">
        <v>2</v>
      </c>
      <c r="E154">
        <v>0.17</v>
      </c>
      <c r="F154" s="5">
        <v>280</v>
      </c>
      <c r="G154" s="5"/>
    </row>
    <row r="155" spans="1:7" ht="14.25" customHeight="1" x14ac:dyDescent="0.3">
      <c r="A155" s="2"/>
      <c r="B155" s="2">
        <v>5</v>
      </c>
      <c r="E155">
        <v>0.17</v>
      </c>
      <c r="F155" s="5">
        <v>284</v>
      </c>
      <c r="G155" s="5"/>
    </row>
    <row r="156" spans="1:7" ht="14.25" customHeight="1" x14ac:dyDescent="0.3">
      <c r="A156" s="2"/>
      <c r="B156" s="2"/>
      <c r="F156" s="5"/>
      <c r="G156" s="5"/>
    </row>
    <row r="157" spans="1:7" ht="14.25" customHeight="1" x14ac:dyDescent="0.3">
      <c r="A157" s="2"/>
      <c r="B157" s="2"/>
      <c r="F157" s="5"/>
      <c r="G157" s="5"/>
    </row>
    <row r="158" spans="1:7" ht="14.25" customHeight="1" x14ac:dyDescent="0.3">
      <c r="A158" s="2"/>
      <c r="B158" s="2"/>
      <c r="F158" s="5"/>
      <c r="G158" s="5"/>
    </row>
    <row r="159" spans="1:7" ht="14.25" customHeight="1" x14ac:dyDescent="0.3">
      <c r="A159" s="2"/>
      <c r="B159" s="2"/>
      <c r="F159" s="5"/>
      <c r="G159" s="5"/>
    </row>
    <row r="160" spans="1:7" ht="14.25" customHeight="1" x14ac:dyDescent="0.3">
      <c r="A160" s="2"/>
      <c r="B160" s="2"/>
      <c r="F160" s="5"/>
      <c r="G160" s="5"/>
    </row>
    <row r="161" spans="1:7" ht="14.25" customHeight="1" x14ac:dyDescent="0.3">
      <c r="A161" s="2"/>
      <c r="B161" s="2"/>
      <c r="F161" s="5"/>
      <c r="G161" s="5"/>
    </row>
    <row r="162" spans="1:7" ht="14.25" customHeight="1" x14ac:dyDescent="0.3">
      <c r="A162" s="2"/>
      <c r="B162" s="2"/>
      <c r="F162" s="5"/>
      <c r="G162" s="5"/>
    </row>
    <row r="163" spans="1:7" ht="14.25" customHeight="1" x14ac:dyDescent="0.3">
      <c r="A163" s="2"/>
      <c r="B163" s="2"/>
      <c r="F163" s="5"/>
      <c r="G163" s="5"/>
    </row>
    <row r="164" spans="1:7" ht="14.25" customHeight="1" x14ac:dyDescent="0.3">
      <c r="A164" s="2"/>
      <c r="B164" s="2"/>
      <c r="F164" s="5"/>
      <c r="G164" s="5"/>
    </row>
    <row r="165" spans="1:7" ht="14.25" customHeight="1" x14ac:dyDescent="0.3">
      <c r="A165" s="2"/>
      <c r="B165" s="2"/>
      <c r="F165" s="5"/>
      <c r="G165" s="5"/>
    </row>
    <row r="166" spans="1:7" ht="14.25" customHeight="1" x14ac:dyDescent="0.3">
      <c r="A166" s="2"/>
      <c r="B166" s="2"/>
      <c r="F166" s="5"/>
      <c r="G166" s="5"/>
    </row>
    <row r="167" spans="1:7" ht="14.25" customHeight="1" x14ac:dyDescent="0.3">
      <c r="A167" s="2"/>
      <c r="B167" s="2"/>
      <c r="F167" s="5"/>
      <c r="G167" s="5"/>
    </row>
    <row r="168" spans="1:7" ht="14.25" customHeight="1" x14ac:dyDescent="0.3">
      <c r="A168" s="2"/>
      <c r="B168" s="2"/>
      <c r="F168" s="5"/>
      <c r="G168" s="5"/>
    </row>
    <row r="169" spans="1:7" ht="14.25" customHeight="1" x14ac:dyDescent="0.3">
      <c r="A169" s="2"/>
      <c r="B169" s="2"/>
      <c r="F169" s="5"/>
      <c r="G169" s="5"/>
    </row>
    <row r="170" spans="1:7" ht="14.25" customHeight="1" x14ac:dyDescent="0.3">
      <c r="A170" s="2"/>
      <c r="B170" s="2"/>
      <c r="F170" s="5"/>
      <c r="G170" s="5"/>
    </row>
    <row r="171" spans="1:7" ht="14.25" customHeight="1" x14ac:dyDescent="0.3">
      <c r="A171" s="2"/>
      <c r="B171" s="2"/>
      <c r="F171" s="5"/>
      <c r="G171" s="5"/>
    </row>
    <row r="172" spans="1:7" ht="14.25" customHeight="1" x14ac:dyDescent="0.3">
      <c r="A172" s="2"/>
      <c r="B172" s="2"/>
      <c r="F172" s="5"/>
      <c r="G172" s="5"/>
    </row>
    <row r="173" spans="1:7" ht="14.25" customHeight="1" x14ac:dyDescent="0.3">
      <c r="A173" s="2"/>
      <c r="B173" s="2"/>
      <c r="F173" s="5"/>
      <c r="G173" s="5"/>
    </row>
    <row r="174" spans="1:7" ht="14.25" customHeight="1" x14ac:dyDescent="0.3">
      <c r="A174" s="2"/>
      <c r="B174" s="2"/>
      <c r="F174" s="5"/>
      <c r="G174" s="5"/>
    </row>
    <row r="175" spans="1:7" ht="14.25" customHeight="1" x14ac:dyDescent="0.3">
      <c r="A175" s="2"/>
      <c r="B175" s="2"/>
      <c r="F175" s="5"/>
      <c r="G175" s="5"/>
    </row>
    <row r="176" spans="1:7" ht="14.25" customHeight="1" x14ac:dyDescent="0.3">
      <c r="A176" s="2"/>
      <c r="B176" s="2"/>
      <c r="F176" s="5"/>
      <c r="G176" s="5"/>
    </row>
    <row r="177" spans="1:7" ht="14.25" customHeight="1" x14ac:dyDescent="0.3">
      <c r="A177" s="2"/>
      <c r="B177" s="2"/>
      <c r="F177" s="5"/>
      <c r="G177" s="5"/>
    </row>
    <row r="178" spans="1:7" ht="14.25" customHeight="1" x14ac:dyDescent="0.3">
      <c r="A178" s="2"/>
      <c r="B178" s="2"/>
      <c r="F178" s="5"/>
      <c r="G178" s="5"/>
    </row>
    <row r="179" spans="1:7" ht="14.25" customHeight="1" x14ac:dyDescent="0.3">
      <c r="A179" s="2"/>
      <c r="B179" s="2"/>
      <c r="F179" s="5"/>
      <c r="G179" s="5"/>
    </row>
    <row r="180" spans="1:7" ht="14.25" customHeight="1" x14ac:dyDescent="0.3">
      <c r="A180" s="2"/>
      <c r="B180" s="2"/>
      <c r="F180" s="5"/>
      <c r="G180" s="5"/>
    </row>
    <row r="181" spans="1:7" ht="14.25" customHeight="1" x14ac:dyDescent="0.3">
      <c r="A181" s="2"/>
      <c r="B181" s="2"/>
      <c r="F181" s="5"/>
      <c r="G181" s="5"/>
    </row>
    <row r="182" spans="1:7" ht="14.25" customHeight="1" x14ac:dyDescent="0.3">
      <c r="A182" s="2"/>
      <c r="B182" s="2"/>
      <c r="F182" s="5"/>
      <c r="G182" s="5"/>
    </row>
    <row r="183" spans="1:7" ht="14.25" customHeight="1" x14ac:dyDescent="0.3">
      <c r="A183" s="2"/>
      <c r="B183" s="2"/>
      <c r="F183" s="5"/>
      <c r="G183" s="5"/>
    </row>
    <row r="184" spans="1:7" ht="14.25" customHeight="1" x14ac:dyDescent="0.3">
      <c r="A184" s="2"/>
      <c r="B184" s="2"/>
      <c r="F184" s="5"/>
      <c r="G184" s="5"/>
    </row>
    <row r="185" spans="1:7" ht="14.25" customHeight="1" x14ac:dyDescent="0.3">
      <c r="A185" s="2"/>
      <c r="B185" s="2"/>
      <c r="F185" s="5"/>
      <c r="G185" s="5"/>
    </row>
    <row r="186" spans="1:7" ht="14.25" customHeight="1" x14ac:dyDescent="0.3">
      <c r="A186" s="2"/>
      <c r="B186" s="2"/>
      <c r="F186" s="5"/>
      <c r="G186" s="5"/>
    </row>
    <row r="187" spans="1:7" ht="14.25" customHeight="1" x14ac:dyDescent="0.3">
      <c r="A187" s="2"/>
      <c r="B187" s="2"/>
      <c r="F187" s="5"/>
      <c r="G187" s="5"/>
    </row>
    <row r="188" spans="1:7" ht="14.25" customHeight="1" x14ac:dyDescent="0.3">
      <c r="A188" s="2"/>
      <c r="B188" s="2"/>
      <c r="F188" s="5"/>
      <c r="G188" s="5"/>
    </row>
    <row r="189" spans="1:7" ht="14.25" customHeight="1" x14ac:dyDescent="0.3">
      <c r="A189" s="2"/>
      <c r="B189" s="2"/>
      <c r="F189" s="5"/>
      <c r="G189" s="5"/>
    </row>
    <row r="190" spans="1:7" ht="14.25" customHeight="1" x14ac:dyDescent="0.3">
      <c r="A190" s="2"/>
      <c r="B190" s="2"/>
      <c r="F190" s="5"/>
      <c r="G190" s="5"/>
    </row>
    <row r="191" spans="1:7" ht="14.25" customHeight="1" x14ac:dyDescent="0.3">
      <c r="A191" s="2"/>
      <c r="B191" s="2"/>
      <c r="F191" s="5"/>
      <c r="G191" s="5"/>
    </row>
    <row r="192" spans="1:7" ht="14.25" customHeight="1" x14ac:dyDescent="0.3">
      <c r="A192" s="2"/>
      <c r="B192" s="2"/>
      <c r="F192" s="5"/>
      <c r="G192" s="5"/>
    </row>
    <row r="193" spans="1:7" ht="14.25" customHeight="1" x14ac:dyDescent="0.3">
      <c r="A193" s="2"/>
      <c r="B193" s="2"/>
      <c r="F193" s="5"/>
      <c r="G193" s="5"/>
    </row>
    <row r="194" spans="1:7" ht="14.25" customHeight="1" x14ac:dyDescent="0.3">
      <c r="A194" s="2"/>
      <c r="B194" s="2"/>
      <c r="F194" s="5"/>
      <c r="G194" s="5"/>
    </row>
    <row r="195" spans="1:7" ht="14.25" customHeight="1" x14ac:dyDescent="0.3">
      <c r="A195" s="2"/>
      <c r="B195" s="2"/>
      <c r="F195" s="5"/>
      <c r="G195" s="5"/>
    </row>
    <row r="196" spans="1:7" ht="14.25" customHeight="1" x14ac:dyDescent="0.3">
      <c r="A196" s="2"/>
      <c r="B196" s="2"/>
      <c r="F196" s="5"/>
      <c r="G196" s="5"/>
    </row>
    <row r="197" spans="1:7" ht="14.25" customHeight="1" x14ac:dyDescent="0.3">
      <c r="A197" s="2"/>
      <c r="B197" s="2"/>
      <c r="F197" s="5"/>
      <c r="G197" s="5"/>
    </row>
    <row r="198" spans="1:7" ht="14.25" customHeight="1" x14ac:dyDescent="0.3">
      <c r="A198" s="2"/>
      <c r="B198" s="2"/>
      <c r="F198" s="5"/>
      <c r="G198" s="5"/>
    </row>
    <row r="199" spans="1:7" ht="14.25" customHeight="1" x14ac:dyDescent="0.3">
      <c r="A199" s="2"/>
      <c r="B199" s="2"/>
      <c r="F199" s="5"/>
      <c r="G199" s="5"/>
    </row>
    <row r="200" spans="1:7" ht="14.25" customHeight="1" x14ac:dyDescent="0.3">
      <c r="A200" s="2"/>
      <c r="B200" s="2"/>
      <c r="F200" s="5"/>
      <c r="G200" s="5"/>
    </row>
    <row r="201" spans="1:7" ht="14.25" customHeight="1" x14ac:dyDescent="0.3">
      <c r="A201" s="2"/>
      <c r="B201" s="2"/>
      <c r="F201" s="5"/>
      <c r="G201" s="5"/>
    </row>
    <row r="202" spans="1:7" ht="14.25" customHeight="1" x14ac:dyDescent="0.3">
      <c r="A202" s="2"/>
      <c r="B202" s="2"/>
      <c r="F202" s="5"/>
      <c r="G202" s="5"/>
    </row>
    <row r="203" spans="1:7" ht="14.25" customHeight="1" x14ac:dyDescent="0.3">
      <c r="A203" s="2"/>
      <c r="B203" s="2"/>
      <c r="F203" s="5"/>
      <c r="G203" s="5"/>
    </row>
    <row r="204" spans="1:7" ht="14.25" customHeight="1" x14ac:dyDescent="0.3">
      <c r="A204" s="2"/>
      <c r="B204" s="2"/>
      <c r="F204" s="5"/>
      <c r="G204" s="5"/>
    </row>
    <row r="205" spans="1:7" ht="14.25" customHeight="1" x14ac:dyDescent="0.3">
      <c r="A205" s="2"/>
      <c r="B205" s="2"/>
      <c r="F205" s="5"/>
      <c r="G205" s="5"/>
    </row>
    <row r="206" spans="1:7" ht="14.25" customHeight="1" x14ac:dyDescent="0.3">
      <c r="A206" s="2"/>
      <c r="B206" s="2"/>
      <c r="F206" s="5"/>
      <c r="G206" s="5"/>
    </row>
    <row r="207" spans="1:7" ht="14.25" customHeight="1" x14ac:dyDescent="0.3">
      <c r="A207" s="2"/>
      <c r="B207" s="2"/>
      <c r="F207" s="5"/>
      <c r="G207" s="5"/>
    </row>
    <row r="208" spans="1:7" ht="14.25" customHeight="1" x14ac:dyDescent="0.3">
      <c r="A208" s="2"/>
      <c r="B208" s="2"/>
      <c r="F208" s="5"/>
      <c r="G208" s="5"/>
    </row>
    <row r="209" spans="1:7" ht="14.25" customHeight="1" x14ac:dyDescent="0.3">
      <c r="A209" s="2"/>
      <c r="B209" s="2"/>
      <c r="F209" s="5"/>
      <c r="G209" s="5"/>
    </row>
    <row r="210" spans="1:7" ht="14.25" customHeight="1" x14ac:dyDescent="0.3">
      <c r="A210" s="2"/>
      <c r="B210" s="2"/>
      <c r="F210" s="5"/>
      <c r="G210" s="5"/>
    </row>
    <row r="211" spans="1:7" ht="14.25" customHeight="1" x14ac:dyDescent="0.3">
      <c r="A211" s="2"/>
      <c r="B211" s="2"/>
      <c r="F211" s="5"/>
      <c r="G211" s="5"/>
    </row>
    <row r="212" spans="1:7" ht="14.25" customHeight="1" x14ac:dyDescent="0.3">
      <c r="A212" s="2"/>
      <c r="B212" s="2"/>
      <c r="F212" s="5"/>
      <c r="G212" s="5"/>
    </row>
    <row r="213" spans="1:7" ht="14.25" customHeight="1" x14ac:dyDescent="0.3">
      <c r="A213" s="2"/>
      <c r="B213" s="2"/>
      <c r="F213" s="5"/>
      <c r="G213" s="5"/>
    </row>
    <row r="214" spans="1:7" ht="14.25" customHeight="1" x14ac:dyDescent="0.3">
      <c r="A214" s="2"/>
      <c r="B214" s="2"/>
      <c r="F214" s="5"/>
      <c r="G214" s="5"/>
    </row>
    <row r="215" spans="1:7" ht="14.25" customHeight="1" x14ac:dyDescent="0.3">
      <c r="A215" s="2"/>
      <c r="B215" s="2"/>
      <c r="F215" s="5"/>
      <c r="G215" s="5"/>
    </row>
    <row r="216" spans="1:7" ht="14.25" customHeight="1" x14ac:dyDescent="0.3">
      <c r="A216" s="2"/>
      <c r="B216" s="2"/>
      <c r="F216" s="5"/>
      <c r="G216" s="5"/>
    </row>
    <row r="217" spans="1:7" ht="14.25" customHeight="1" x14ac:dyDescent="0.3">
      <c r="A217" s="2"/>
      <c r="B217" s="2"/>
      <c r="F217" s="5"/>
      <c r="G217" s="5"/>
    </row>
    <row r="218" spans="1:7" ht="14.25" customHeight="1" x14ac:dyDescent="0.3">
      <c r="A218" s="2"/>
      <c r="B218" s="2"/>
      <c r="F218" s="5"/>
      <c r="G218" s="5"/>
    </row>
    <row r="219" spans="1:7" ht="14.25" customHeight="1" x14ac:dyDescent="0.3">
      <c r="A219" s="2"/>
      <c r="B219" s="2"/>
      <c r="F219" s="5"/>
      <c r="G219" s="5"/>
    </row>
    <row r="220" spans="1:7" ht="14.25" customHeight="1" x14ac:dyDescent="0.3">
      <c r="A220" s="2"/>
      <c r="B220" s="2"/>
      <c r="F220" s="5"/>
      <c r="G220" s="5"/>
    </row>
    <row r="221" spans="1:7" ht="14.25" customHeight="1" x14ac:dyDescent="0.3">
      <c r="A221" s="2"/>
      <c r="B221" s="2"/>
      <c r="F221" s="5"/>
      <c r="G221" s="5"/>
    </row>
    <row r="222" spans="1:7" ht="14.25" customHeight="1" x14ac:dyDescent="0.3">
      <c r="A222" s="2"/>
      <c r="B222" s="2"/>
      <c r="F222" s="5"/>
      <c r="G222" s="5"/>
    </row>
    <row r="223" spans="1:7" ht="14.25" customHeight="1" x14ac:dyDescent="0.3">
      <c r="A223" s="2"/>
      <c r="B223" s="2"/>
      <c r="F223" s="5"/>
      <c r="G223" s="5"/>
    </row>
    <row r="224" spans="1:7" ht="14.25" customHeight="1" x14ac:dyDescent="0.3">
      <c r="A224" s="2"/>
      <c r="B224" s="2"/>
      <c r="F224" s="5"/>
      <c r="G224" s="5"/>
    </row>
    <row r="225" spans="1:7" ht="14.25" customHeight="1" x14ac:dyDescent="0.3">
      <c r="A225" s="2"/>
      <c r="B225" s="2"/>
      <c r="F225" s="5"/>
      <c r="G225" s="5"/>
    </row>
    <row r="226" spans="1:7" ht="14.25" customHeight="1" x14ac:dyDescent="0.3">
      <c r="A226" s="2"/>
      <c r="B226" s="2"/>
      <c r="F226" s="5"/>
      <c r="G226" s="5"/>
    </row>
    <row r="227" spans="1:7" ht="14.25" customHeight="1" x14ac:dyDescent="0.3">
      <c r="A227" s="2"/>
      <c r="B227" s="2"/>
      <c r="F227" s="5"/>
      <c r="G227" s="5"/>
    </row>
    <row r="228" spans="1:7" ht="14.25" customHeight="1" x14ac:dyDescent="0.3">
      <c r="A228" s="2"/>
      <c r="B228" s="2"/>
      <c r="F228" s="5"/>
      <c r="G228" s="5"/>
    </row>
    <row r="229" spans="1:7" ht="14.25" customHeight="1" x14ac:dyDescent="0.3">
      <c r="A229" s="2"/>
      <c r="B229" s="2"/>
      <c r="F229" s="5"/>
      <c r="G229" s="5"/>
    </row>
    <row r="230" spans="1:7" ht="14.25" customHeight="1" x14ac:dyDescent="0.3">
      <c r="A230" s="2"/>
      <c r="B230" s="2"/>
      <c r="F230" s="5"/>
      <c r="G230" s="5"/>
    </row>
    <row r="231" spans="1:7" ht="14.25" customHeight="1" x14ac:dyDescent="0.3">
      <c r="A231" s="2"/>
      <c r="B231" s="2"/>
      <c r="F231" s="5"/>
      <c r="G231" s="5"/>
    </row>
    <row r="232" spans="1:7" ht="14.25" customHeight="1" x14ac:dyDescent="0.3">
      <c r="A232" s="2"/>
      <c r="B232" s="2"/>
      <c r="F232" s="5"/>
      <c r="G232" s="5"/>
    </row>
    <row r="233" spans="1:7" ht="14.25" customHeight="1" x14ac:dyDescent="0.3">
      <c r="A233" s="2"/>
      <c r="B233" s="2"/>
      <c r="F233" s="5"/>
      <c r="G233" s="5"/>
    </row>
    <row r="234" spans="1:7" ht="14.25" customHeight="1" x14ac:dyDescent="0.3">
      <c r="A234" s="2"/>
      <c r="B234" s="2"/>
      <c r="F234" s="5"/>
      <c r="G234" s="5"/>
    </row>
    <row r="235" spans="1:7" ht="14.25" customHeight="1" x14ac:dyDescent="0.3">
      <c r="A235" s="2"/>
      <c r="B235" s="2"/>
      <c r="F235" s="5"/>
      <c r="G235" s="5"/>
    </row>
    <row r="236" spans="1:7" ht="14.25" customHeight="1" x14ac:dyDescent="0.3">
      <c r="A236" s="2"/>
      <c r="B236" s="2"/>
      <c r="F236" s="5"/>
      <c r="G236" s="5"/>
    </row>
    <row r="237" spans="1:7" ht="14.25" customHeight="1" x14ac:dyDescent="0.3">
      <c r="A237" s="2"/>
      <c r="B237" s="2"/>
      <c r="F237" s="5"/>
      <c r="G237" s="5"/>
    </row>
    <row r="238" spans="1:7" ht="14.25" customHeight="1" x14ac:dyDescent="0.3">
      <c r="A238" s="2"/>
      <c r="B238" s="2"/>
      <c r="F238" s="5"/>
      <c r="G238" s="5"/>
    </row>
    <row r="239" spans="1:7" ht="14.25" customHeight="1" x14ac:dyDescent="0.3">
      <c r="A239" s="2"/>
      <c r="B239" s="2"/>
      <c r="F239" s="5"/>
      <c r="G239" s="5"/>
    </row>
    <row r="240" spans="1:7" ht="14.25" customHeight="1" x14ac:dyDescent="0.3">
      <c r="A240" s="2"/>
      <c r="B240" s="2"/>
      <c r="F240" s="5"/>
      <c r="G240" s="5"/>
    </row>
    <row r="241" spans="1:7" ht="14.25" customHeight="1" x14ac:dyDescent="0.3">
      <c r="A241" s="2"/>
      <c r="B241" s="2"/>
      <c r="F241" s="5"/>
      <c r="G241" s="5"/>
    </row>
    <row r="242" spans="1:7" ht="14.25" customHeight="1" x14ac:dyDescent="0.3">
      <c r="A242" s="2"/>
      <c r="B242" s="2"/>
      <c r="F242" s="5"/>
      <c r="G242" s="5"/>
    </row>
    <row r="243" spans="1:7" ht="14.25" customHeight="1" x14ac:dyDescent="0.3">
      <c r="A243" s="2"/>
      <c r="B243" s="2"/>
      <c r="F243" s="5"/>
      <c r="G243" s="5"/>
    </row>
    <row r="244" spans="1:7" ht="14.25" customHeight="1" x14ac:dyDescent="0.3">
      <c r="A244" s="2"/>
      <c r="B244" s="2"/>
      <c r="F244" s="5"/>
      <c r="G244" s="5"/>
    </row>
    <row r="245" spans="1:7" ht="14.25" customHeight="1" x14ac:dyDescent="0.3">
      <c r="A245" s="2"/>
      <c r="B245" s="2"/>
      <c r="F245" s="5"/>
      <c r="G245" s="5"/>
    </row>
    <row r="246" spans="1:7" ht="14.25" customHeight="1" x14ac:dyDescent="0.3">
      <c r="A246" s="2"/>
      <c r="B246" s="2"/>
      <c r="F246" s="5"/>
      <c r="G246" s="5"/>
    </row>
    <row r="247" spans="1:7" ht="14.25" customHeight="1" x14ac:dyDescent="0.3">
      <c r="A247" s="2"/>
      <c r="B247" s="2"/>
      <c r="F247" s="5"/>
      <c r="G247" s="5"/>
    </row>
    <row r="248" spans="1:7" ht="14.25" customHeight="1" x14ac:dyDescent="0.3">
      <c r="A248" s="2"/>
      <c r="B248" s="2"/>
      <c r="F248" s="5"/>
      <c r="G248" s="5"/>
    </row>
    <row r="249" spans="1:7" ht="14.25" customHeight="1" x14ac:dyDescent="0.3">
      <c r="A249" s="2"/>
      <c r="B249" s="2"/>
      <c r="F249" s="5"/>
      <c r="G249" s="5"/>
    </row>
    <row r="250" spans="1:7" ht="14.25" customHeight="1" x14ac:dyDescent="0.3">
      <c r="A250" s="2"/>
      <c r="B250" s="2"/>
      <c r="F250" s="5"/>
      <c r="G250" s="5"/>
    </row>
    <row r="251" spans="1:7" ht="14.25" customHeight="1" x14ac:dyDescent="0.3">
      <c r="A251" s="2"/>
      <c r="B251" s="2"/>
      <c r="F251" s="5"/>
      <c r="G251" s="5"/>
    </row>
    <row r="252" spans="1:7" ht="14.25" customHeight="1" x14ac:dyDescent="0.3">
      <c r="A252" s="2"/>
      <c r="B252" s="2"/>
      <c r="F252" s="5"/>
      <c r="G252" s="5"/>
    </row>
    <row r="253" spans="1:7" ht="14.25" customHeight="1" x14ac:dyDescent="0.3">
      <c r="A253" s="2"/>
      <c r="B253" s="2"/>
      <c r="F253" s="5"/>
      <c r="G253" s="5"/>
    </row>
    <row r="254" spans="1:7" ht="14.25" customHeight="1" x14ac:dyDescent="0.3">
      <c r="A254" s="2"/>
      <c r="B254" s="2"/>
      <c r="F254" s="5"/>
      <c r="G254" s="5"/>
    </row>
    <row r="255" spans="1:7" ht="14.25" customHeight="1" x14ac:dyDescent="0.3">
      <c r="A255" s="2"/>
      <c r="B255" s="2"/>
      <c r="F255" s="5"/>
      <c r="G255" s="5"/>
    </row>
    <row r="256" spans="1:7" ht="14.25" customHeight="1" x14ac:dyDescent="0.3">
      <c r="A256" s="2"/>
      <c r="B256" s="2"/>
      <c r="F256" s="5"/>
      <c r="G256" s="5"/>
    </row>
    <row r="257" spans="1:7" ht="14.25" customHeight="1" x14ac:dyDescent="0.3">
      <c r="A257" s="2"/>
      <c r="B257" s="2"/>
      <c r="F257" s="5"/>
      <c r="G257" s="5"/>
    </row>
    <row r="258" spans="1:7" ht="14.25" customHeight="1" x14ac:dyDescent="0.3">
      <c r="A258" s="2"/>
      <c r="B258" s="2"/>
      <c r="F258" s="5"/>
      <c r="G258" s="5"/>
    </row>
    <row r="259" spans="1:7" ht="14.25" customHeight="1" x14ac:dyDescent="0.3">
      <c r="A259" s="2"/>
      <c r="B259" s="2"/>
      <c r="F259" s="5"/>
      <c r="G259" s="5"/>
    </row>
    <row r="260" spans="1:7" ht="14.25" customHeight="1" x14ac:dyDescent="0.3">
      <c r="A260" s="2"/>
      <c r="B260" s="2"/>
      <c r="F260" s="5"/>
      <c r="G260" s="5"/>
    </row>
    <row r="261" spans="1:7" ht="14.25" customHeight="1" x14ac:dyDescent="0.3">
      <c r="A261" s="2"/>
      <c r="B261" s="2"/>
      <c r="F261" s="5"/>
      <c r="G261" s="5"/>
    </row>
    <row r="262" spans="1:7" ht="14.25" customHeight="1" x14ac:dyDescent="0.3">
      <c r="A262" s="2"/>
      <c r="B262" s="2"/>
      <c r="F262" s="5"/>
      <c r="G262" s="5"/>
    </row>
    <row r="263" spans="1:7" ht="14.25" customHeight="1" x14ac:dyDescent="0.3">
      <c r="A263" s="2"/>
      <c r="B263" s="2"/>
      <c r="F263" s="5"/>
      <c r="G263" s="5"/>
    </row>
    <row r="264" spans="1:7" ht="14.25" customHeight="1" x14ac:dyDescent="0.3">
      <c r="A264" s="2"/>
      <c r="B264" s="2"/>
      <c r="F264" s="5"/>
      <c r="G264" s="5"/>
    </row>
    <row r="265" spans="1:7" ht="14.25" customHeight="1" x14ac:dyDescent="0.3">
      <c r="A265" s="2"/>
      <c r="B265" s="2"/>
      <c r="F265" s="5"/>
      <c r="G265" s="5"/>
    </row>
    <row r="266" spans="1:7" ht="14.25" customHeight="1" x14ac:dyDescent="0.3">
      <c r="A266" s="2"/>
      <c r="B266" s="2"/>
      <c r="F266" s="5"/>
      <c r="G266" s="5"/>
    </row>
    <row r="267" spans="1:7" ht="14.25" customHeight="1" x14ac:dyDescent="0.3">
      <c r="A267" s="2"/>
      <c r="B267" s="2"/>
      <c r="F267" s="5"/>
      <c r="G267" s="5"/>
    </row>
    <row r="268" spans="1:7" ht="14.25" customHeight="1" x14ac:dyDescent="0.3">
      <c r="A268" s="2"/>
      <c r="B268" s="2"/>
      <c r="F268" s="5"/>
      <c r="G268" s="5"/>
    </row>
    <row r="269" spans="1:7" ht="14.25" customHeight="1" x14ac:dyDescent="0.3">
      <c r="A269" s="2"/>
      <c r="B269" s="2"/>
      <c r="F269" s="5"/>
      <c r="G269" s="5"/>
    </row>
    <row r="270" spans="1:7" ht="14.25" customHeight="1" x14ac:dyDescent="0.3">
      <c r="A270" s="2"/>
      <c r="B270" s="2"/>
      <c r="F270" s="5"/>
      <c r="G270" s="5"/>
    </row>
    <row r="271" spans="1:7" ht="14.25" customHeight="1" x14ac:dyDescent="0.3">
      <c r="A271" s="2"/>
      <c r="B271" s="2"/>
      <c r="F271" s="5"/>
      <c r="G271" s="5"/>
    </row>
    <row r="272" spans="1:7" ht="14.25" customHeight="1" x14ac:dyDescent="0.3">
      <c r="A272" s="2"/>
      <c r="B272" s="2"/>
      <c r="F272" s="5"/>
      <c r="G272" s="5"/>
    </row>
    <row r="273" spans="1:7" ht="14.25" customHeight="1" x14ac:dyDescent="0.3">
      <c r="A273" s="2"/>
      <c r="B273" s="2"/>
      <c r="F273" s="5"/>
      <c r="G273" s="5"/>
    </row>
    <row r="274" spans="1:7" ht="14.25" customHeight="1" x14ac:dyDescent="0.3">
      <c r="A274" s="2"/>
      <c r="B274" s="2"/>
      <c r="F274" s="5"/>
      <c r="G274" s="5"/>
    </row>
    <row r="275" spans="1:7" ht="14.25" customHeight="1" x14ac:dyDescent="0.3">
      <c r="A275" s="2"/>
      <c r="B275" s="2"/>
      <c r="F275" s="5"/>
      <c r="G275" s="5"/>
    </row>
    <row r="276" spans="1:7" ht="14.25" customHeight="1" x14ac:dyDescent="0.3">
      <c r="A276" s="2"/>
      <c r="B276" s="2"/>
      <c r="F276" s="5"/>
      <c r="G276" s="5"/>
    </row>
    <row r="277" spans="1:7" ht="14.25" customHeight="1" x14ac:dyDescent="0.3">
      <c r="A277" s="2"/>
      <c r="B277" s="2"/>
      <c r="F277" s="5"/>
      <c r="G277" s="5"/>
    </row>
    <row r="278" spans="1:7" ht="14.25" customHeight="1" x14ac:dyDescent="0.3">
      <c r="A278" s="2"/>
      <c r="B278" s="2"/>
      <c r="F278" s="5"/>
      <c r="G278" s="5"/>
    </row>
    <row r="279" spans="1:7" ht="14.25" customHeight="1" x14ac:dyDescent="0.3">
      <c r="A279" s="2"/>
      <c r="B279" s="2"/>
      <c r="F279" s="5"/>
      <c r="G279" s="5"/>
    </row>
    <row r="280" spans="1:7" ht="14.25" customHeight="1" x14ac:dyDescent="0.3">
      <c r="A280" s="2"/>
      <c r="B280" s="2"/>
      <c r="F280" s="5"/>
      <c r="G280" s="5"/>
    </row>
    <row r="281" spans="1:7" ht="14.25" customHeight="1" x14ac:dyDescent="0.3">
      <c r="A281" s="2"/>
      <c r="B281" s="2"/>
      <c r="F281" s="5"/>
      <c r="G281" s="5"/>
    </row>
    <row r="282" spans="1:7" ht="14.25" customHeight="1" x14ac:dyDescent="0.3">
      <c r="A282" s="2"/>
      <c r="B282" s="2"/>
      <c r="F282" s="5"/>
      <c r="G282" s="5"/>
    </row>
    <row r="283" spans="1:7" ht="14.25" customHeight="1" x14ac:dyDescent="0.3">
      <c r="A283" s="2"/>
      <c r="B283" s="2"/>
      <c r="F283" s="5"/>
      <c r="G283" s="5"/>
    </row>
    <row r="284" spans="1:7" ht="14.25" customHeight="1" x14ac:dyDescent="0.3">
      <c r="A284" s="2"/>
      <c r="B284" s="2"/>
      <c r="F284" s="5"/>
      <c r="G284" s="5"/>
    </row>
    <row r="285" spans="1:7" ht="14.25" customHeight="1" x14ac:dyDescent="0.3">
      <c r="A285" s="2"/>
      <c r="B285" s="2"/>
      <c r="F285" s="5"/>
      <c r="G285" s="5"/>
    </row>
    <row r="286" spans="1:7" ht="14.25" customHeight="1" x14ac:dyDescent="0.3">
      <c r="A286" s="2"/>
      <c r="B286" s="2"/>
      <c r="F286" s="5"/>
      <c r="G286" s="5"/>
    </row>
    <row r="287" spans="1:7" ht="14.25" customHeight="1" x14ac:dyDescent="0.3">
      <c r="A287" s="2"/>
      <c r="B287" s="2"/>
      <c r="F287" s="5"/>
      <c r="G287" s="5"/>
    </row>
    <row r="288" spans="1:7" ht="14.25" customHeight="1" x14ac:dyDescent="0.3">
      <c r="A288" s="2"/>
      <c r="B288" s="2"/>
      <c r="F288" s="5"/>
      <c r="G288" s="5"/>
    </row>
    <row r="289" spans="1:7" ht="14.25" customHeight="1" x14ac:dyDescent="0.3">
      <c r="A289" s="2"/>
      <c r="B289" s="2"/>
      <c r="F289" s="5"/>
      <c r="G289" s="5"/>
    </row>
    <row r="290" spans="1:7" ht="14.25" customHeight="1" x14ac:dyDescent="0.3">
      <c r="A290" s="2"/>
      <c r="B290" s="2"/>
      <c r="F290" s="5"/>
      <c r="G290" s="5"/>
    </row>
    <row r="291" spans="1:7" ht="14.25" customHeight="1" x14ac:dyDescent="0.3">
      <c r="A291" s="2"/>
      <c r="B291" s="2"/>
      <c r="F291" s="5"/>
      <c r="G291" s="5"/>
    </row>
    <row r="292" spans="1:7" ht="14.25" customHeight="1" x14ac:dyDescent="0.3">
      <c r="A292" s="2"/>
      <c r="B292" s="2"/>
      <c r="F292" s="5"/>
      <c r="G292" s="5"/>
    </row>
    <row r="293" spans="1:7" ht="14.25" customHeight="1" x14ac:dyDescent="0.3">
      <c r="A293" s="2"/>
      <c r="B293" s="2"/>
      <c r="F293" s="5"/>
      <c r="G293" s="5"/>
    </row>
    <row r="294" spans="1:7" ht="14.25" customHeight="1" x14ac:dyDescent="0.3">
      <c r="A294" s="2"/>
      <c r="B294" s="2"/>
      <c r="F294" s="5"/>
      <c r="G294" s="5"/>
    </row>
    <row r="295" spans="1:7" ht="14.25" customHeight="1" x14ac:dyDescent="0.3">
      <c r="A295" s="2"/>
      <c r="B295" s="2"/>
      <c r="F295" s="5"/>
      <c r="G295" s="5"/>
    </row>
    <row r="296" spans="1:7" ht="14.25" customHeight="1" x14ac:dyDescent="0.3">
      <c r="A296" s="2"/>
      <c r="B296" s="2"/>
      <c r="F296" s="5"/>
      <c r="G296" s="5"/>
    </row>
    <row r="297" spans="1:7" ht="14.25" customHeight="1" x14ac:dyDescent="0.3">
      <c r="A297" s="2"/>
      <c r="B297" s="2"/>
      <c r="F297" s="5"/>
      <c r="G297" s="5"/>
    </row>
    <row r="298" spans="1:7" ht="14.25" customHeight="1" x14ac:dyDescent="0.3">
      <c r="A298" s="2"/>
      <c r="B298" s="2"/>
      <c r="F298" s="5"/>
      <c r="G298" s="5"/>
    </row>
    <row r="299" spans="1:7" ht="14.25" customHeight="1" x14ac:dyDescent="0.3">
      <c r="A299" s="2"/>
      <c r="B299" s="2"/>
      <c r="F299" s="5"/>
      <c r="G299" s="5"/>
    </row>
    <row r="300" spans="1:7" ht="14.25" customHeight="1" x14ac:dyDescent="0.3">
      <c r="A300" s="2"/>
      <c r="B300" s="2"/>
      <c r="F300" s="5"/>
      <c r="G300" s="5"/>
    </row>
    <row r="301" spans="1:7" ht="14.25" customHeight="1" x14ac:dyDescent="0.3">
      <c r="A301" s="2"/>
      <c r="B301" s="2"/>
      <c r="F301" s="5"/>
      <c r="G301" s="5"/>
    </row>
    <row r="302" spans="1:7" ht="14.25" customHeight="1" x14ac:dyDescent="0.3">
      <c r="A302" s="2"/>
      <c r="B302" s="2"/>
      <c r="F302" s="5"/>
      <c r="G302" s="5"/>
    </row>
    <row r="303" spans="1:7" ht="14.25" customHeight="1" x14ac:dyDescent="0.3">
      <c r="A303" s="2"/>
      <c r="B303" s="2"/>
      <c r="F303" s="5"/>
      <c r="G303" s="5"/>
    </row>
    <row r="304" spans="1:7" ht="14.25" customHeight="1" x14ac:dyDescent="0.3">
      <c r="A304" s="2"/>
      <c r="B304" s="2"/>
      <c r="F304" s="5"/>
      <c r="G304" s="5"/>
    </row>
    <row r="305" spans="1:7" ht="14.25" customHeight="1" x14ac:dyDescent="0.3">
      <c r="A305" s="2"/>
      <c r="B305" s="2"/>
      <c r="F305" s="5"/>
      <c r="G305" s="5"/>
    </row>
    <row r="306" spans="1:7" ht="14.25" customHeight="1" x14ac:dyDescent="0.3">
      <c r="A306" s="2"/>
      <c r="B306" s="2"/>
      <c r="F306" s="5"/>
      <c r="G306" s="5"/>
    </row>
    <row r="307" spans="1:7" ht="14.25" customHeight="1" x14ac:dyDescent="0.3">
      <c r="A307" s="2"/>
      <c r="B307" s="2"/>
      <c r="F307" s="5"/>
      <c r="G307" s="5"/>
    </row>
    <row r="308" spans="1:7" ht="14.25" customHeight="1" x14ac:dyDescent="0.3">
      <c r="A308" s="2"/>
      <c r="B308" s="2"/>
      <c r="F308" s="5"/>
      <c r="G308" s="5"/>
    </row>
    <row r="309" spans="1:7" ht="14.25" customHeight="1" x14ac:dyDescent="0.3">
      <c r="A309" s="2"/>
      <c r="B309" s="2"/>
      <c r="F309" s="5"/>
      <c r="G309" s="5"/>
    </row>
    <row r="310" spans="1:7" ht="14.25" customHeight="1" x14ac:dyDescent="0.3">
      <c r="A310" s="2"/>
      <c r="B310" s="2"/>
      <c r="F310" s="5"/>
      <c r="G310" s="5"/>
    </row>
    <row r="311" spans="1:7" ht="14.25" customHeight="1" x14ac:dyDescent="0.3">
      <c r="A311" s="2"/>
      <c r="B311" s="2"/>
      <c r="F311" s="5"/>
      <c r="G311" s="5"/>
    </row>
    <row r="312" spans="1:7" ht="14.25" customHeight="1" x14ac:dyDescent="0.3">
      <c r="A312" s="2"/>
      <c r="B312" s="2"/>
      <c r="F312" s="5"/>
      <c r="G312" s="5"/>
    </row>
    <row r="313" spans="1:7" ht="14.25" customHeight="1" x14ac:dyDescent="0.3">
      <c r="A313" s="2"/>
      <c r="B313" s="2"/>
      <c r="F313" s="5"/>
      <c r="G313" s="5"/>
    </row>
    <row r="314" spans="1:7" ht="14.25" customHeight="1" x14ac:dyDescent="0.3">
      <c r="A314" s="2"/>
      <c r="B314" s="2"/>
      <c r="F314" s="5"/>
      <c r="G314" s="5"/>
    </row>
    <row r="315" spans="1:7" ht="14.25" customHeight="1" x14ac:dyDescent="0.3">
      <c r="A315" s="2"/>
      <c r="B315" s="2"/>
      <c r="F315" s="5"/>
      <c r="G315" s="5"/>
    </row>
    <row r="316" spans="1:7" ht="14.25" customHeight="1" x14ac:dyDescent="0.3">
      <c r="A316" s="2"/>
      <c r="B316" s="2"/>
      <c r="F316" s="5"/>
      <c r="G316" s="5"/>
    </row>
    <row r="317" spans="1:7" ht="14.25" customHeight="1" x14ac:dyDescent="0.3">
      <c r="A317" s="2"/>
      <c r="B317" s="2"/>
      <c r="F317" s="5"/>
      <c r="G317" s="5"/>
    </row>
    <row r="318" spans="1:7" ht="14.25" customHeight="1" x14ac:dyDescent="0.3">
      <c r="A318" s="2"/>
      <c r="B318" s="2"/>
      <c r="F318" s="5"/>
      <c r="G318" s="5"/>
    </row>
    <row r="319" spans="1:7" ht="14.25" customHeight="1" x14ac:dyDescent="0.3">
      <c r="A319" s="2"/>
      <c r="B319" s="2"/>
      <c r="F319" s="5"/>
      <c r="G319" s="5"/>
    </row>
    <row r="320" spans="1:7" ht="14.25" customHeight="1" x14ac:dyDescent="0.3">
      <c r="A320" s="2"/>
      <c r="B320" s="2"/>
      <c r="F320" s="5"/>
      <c r="G320" s="5"/>
    </row>
    <row r="321" spans="1:7" ht="14.25" customHeight="1" x14ac:dyDescent="0.3">
      <c r="A321" s="2"/>
      <c r="B321" s="2"/>
      <c r="F321" s="5"/>
      <c r="G321" s="5"/>
    </row>
    <row r="322" spans="1:7" ht="14.25" customHeight="1" x14ac:dyDescent="0.3">
      <c r="A322" s="2"/>
      <c r="B322" s="2"/>
      <c r="F322" s="5"/>
      <c r="G322" s="5"/>
    </row>
    <row r="323" spans="1:7" ht="14.25" customHeight="1" x14ac:dyDescent="0.3">
      <c r="A323" s="2"/>
      <c r="B323" s="2"/>
      <c r="F323" s="5"/>
      <c r="G323" s="5"/>
    </row>
    <row r="324" spans="1:7" ht="14.25" customHeight="1" x14ac:dyDescent="0.3">
      <c r="A324" s="2"/>
      <c r="B324" s="2"/>
      <c r="F324" s="5"/>
      <c r="G324" s="5"/>
    </row>
    <row r="325" spans="1:7" ht="14.25" customHeight="1" x14ac:dyDescent="0.3">
      <c r="A325" s="2"/>
      <c r="B325" s="2"/>
      <c r="F325" s="5"/>
      <c r="G325" s="5"/>
    </row>
    <row r="326" spans="1:7" ht="14.25" customHeight="1" x14ac:dyDescent="0.3">
      <c r="A326" s="2"/>
      <c r="B326" s="2"/>
      <c r="F326" s="5"/>
      <c r="G326" s="5"/>
    </row>
    <row r="327" spans="1:7" ht="14.25" customHeight="1" x14ac:dyDescent="0.3">
      <c r="A327" s="2"/>
      <c r="B327" s="2"/>
      <c r="F327" s="5"/>
      <c r="G327" s="5"/>
    </row>
    <row r="328" spans="1:7" ht="14.25" customHeight="1" x14ac:dyDescent="0.3">
      <c r="A328" s="2"/>
      <c r="B328" s="2"/>
      <c r="F328" s="5"/>
      <c r="G328" s="5"/>
    </row>
    <row r="329" spans="1:7" ht="14.25" customHeight="1" x14ac:dyDescent="0.3">
      <c r="A329" s="2"/>
      <c r="B329" s="2"/>
      <c r="F329" s="5"/>
      <c r="G329" s="5"/>
    </row>
    <row r="330" spans="1:7" ht="14.25" customHeight="1" x14ac:dyDescent="0.3">
      <c r="A330" s="2"/>
      <c r="B330" s="2"/>
      <c r="F330" s="5"/>
      <c r="G330" s="5"/>
    </row>
    <row r="331" spans="1:7" ht="14.25" customHeight="1" x14ac:dyDescent="0.3">
      <c r="A331" s="2"/>
      <c r="B331" s="2"/>
      <c r="F331" s="5"/>
      <c r="G331" s="5"/>
    </row>
    <row r="332" spans="1:7" ht="14.25" customHeight="1" x14ac:dyDescent="0.3">
      <c r="A332" s="2"/>
      <c r="B332" s="2"/>
      <c r="F332" s="5"/>
      <c r="G332" s="5"/>
    </row>
    <row r="333" spans="1:7" ht="14.25" customHeight="1" x14ac:dyDescent="0.3">
      <c r="A333" s="2"/>
      <c r="B333" s="2"/>
      <c r="F333" s="5"/>
      <c r="G333" s="5"/>
    </row>
    <row r="334" spans="1:7" ht="14.25" customHeight="1" x14ac:dyDescent="0.3">
      <c r="A334" s="2"/>
      <c r="B334" s="2"/>
      <c r="F334" s="5"/>
      <c r="G334" s="5"/>
    </row>
    <row r="335" spans="1:7" ht="14.25" customHeight="1" x14ac:dyDescent="0.3">
      <c r="A335" s="2"/>
      <c r="B335" s="2"/>
      <c r="F335" s="5"/>
      <c r="G335" s="5"/>
    </row>
    <row r="336" spans="1:7" ht="14.25" customHeight="1" x14ac:dyDescent="0.3">
      <c r="A336" s="2"/>
      <c r="B336" s="2"/>
      <c r="F336" s="5"/>
      <c r="G336" s="5"/>
    </row>
    <row r="337" spans="1:7" ht="14.25" customHeight="1" x14ac:dyDescent="0.3">
      <c r="A337" s="2"/>
      <c r="B337" s="2"/>
      <c r="F337" s="5"/>
      <c r="G337" s="5"/>
    </row>
    <row r="338" spans="1:7" ht="14.25" customHeight="1" x14ac:dyDescent="0.3">
      <c r="A338" s="2"/>
      <c r="B338" s="2"/>
      <c r="F338" s="5"/>
      <c r="G338" s="5"/>
    </row>
    <row r="339" spans="1:7" ht="14.25" customHeight="1" x14ac:dyDescent="0.3">
      <c r="A339" s="2"/>
      <c r="B339" s="2"/>
      <c r="F339" s="5"/>
      <c r="G339" s="5"/>
    </row>
    <row r="340" spans="1:7" ht="14.25" customHeight="1" x14ac:dyDescent="0.3">
      <c r="A340" s="2"/>
      <c r="B340" s="2"/>
      <c r="F340" s="5"/>
      <c r="G340" s="5"/>
    </row>
    <row r="341" spans="1:7" ht="14.25" customHeight="1" x14ac:dyDescent="0.3">
      <c r="A341" s="2"/>
      <c r="B341" s="2"/>
      <c r="F341" s="5"/>
      <c r="G341" s="5"/>
    </row>
    <row r="342" spans="1:7" ht="14.25" customHeight="1" x14ac:dyDescent="0.3">
      <c r="A342" s="2"/>
      <c r="B342" s="2"/>
      <c r="F342" s="5"/>
      <c r="G342" s="5"/>
    </row>
    <row r="343" spans="1:7" ht="14.25" customHeight="1" x14ac:dyDescent="0.3">
      <c r="A343" s="2"/>
      <c r="B343" s="2"/>
      <c r="F343" s="5"/>
      <c r="G343" s="5"/>
    </row>
    <row r="344" spans="1:7" ht="14.25" customHeight="1" x14ac:dyDescent="0.3">
      <c r="A344" s="2"/>
      <c r="B344" s="2"/>
      <c r="F344" s="5"/>
      <c r="G344" s="5"/>
    </row>
    <row r="345" spans="1:7" ht="14.25" customHeight="1" x14ac:dyDescent="0.3">
      <c r="A345" s="2"/>
      <c r="B345" s="2"/>
      <c r="F345" s="5"/>
      <c r="G345" s="5"/>
    </row>
    <row r="346" spans="1:7" ht="14.25" customHeight="1" x14ac:dyDescent="0.3">
      <c r="A346" s="2"/>
      <c r="B346" s="2"/>
      <c r="F346" s="5"/>
      <c r="G346" s="5"/>
    </row>
    <row r="347" spans="1:7" ht="14.25" customHeight="1" x14ac:dyDescent="0.3">
      <c r="A347" s="2"/>
      <c r="B347" s="2"/>
      <c r="F347" s="5"/>
      <c r="G347" s="5"/>
    </row>
    <row r="348" spans="1:7" ht="14.25" customHeight="1" x14ac:dyDescent="0.3">
      <c r="A348" s="2"/>
      <c r="B348" s="2"/>
      <c r="F348" s="5"/>
      <c r="G348" s="5"/>
    </row>
    <row r="349" spans="1:7" ht="14.25" customHeight="1" x14ac:dyDescent="0.3">
      <c r="A349" s="2"/>
      <c r="B349" s="2"/>
      <c r="F349" s="5"/>
      <c r="G349" s="5"/>
    </row>
    <row r="350" spans="1:7" ht="14.25" customHeight="1" x14ac:dyDescent="0.3">
      <c r="A350" s="2"/>
      <c r="B350" s="2"/>
      <c r="F350" s="5"/>
      <c r="G350" s="5"/>
    </row>
    <row r="351" spans="1:7" ht="14.25" customHeight="1" x14ac:dyDescent="0.3">
      <c r="A351" s="2"/>
      <c r="B351" s="2"/>
      <c r="F351" s="5"/>
      <c r="G351" s="5"/>
    </row>
    <row r="352" spans="1:7" ht="14.25" customHeight="1" x14ac:dyDescent="0.3">
      <c r="A352" s="2"/>
      <c r="B352" s="2"/>
      <c r="F352" s="5"/>
      <c r="G352" s="5"/>
    </row>
    <row r="353" spans="1:7" ht="14.25" customHeight="1" x14ac:dyDescent="0.3">
      <c r="A353" s="2"/>
      <c r="B353" s="2"/>
      <c r="F353" s="5"/>
      <c r="G353" s="5"/>
    </row>
    <row r="354" spans="1:7" ht="14.25" customHeight="1" x14ac:dyDescent="0.3">
      <c r="A354" s="2"/>
      <c r="B354" s="2"/>
      <c r="F354" s="5"/>
      <c r="G354" s="5"/>
    </row>
    <row r="355" spans="1:7" ht="14.25" customHeight="1" x14ac:dyDescent="0.3">
      <c r="A355" s="2"/>
      <c r="B355" s="2"/>
      <c r="F355" s="5"/>
      <c r="G355" s="5"/>
    </row>
    <row r="356" spans="1:7" ht="14.25" customHeight="1" x14ac:dyDescent="0.3">
      <c r="A356" s="2"/>
      <c r="B356" s="2"/>
      <c r="F356" s="5"/>
      <c r="G356" s="5"/>
    </row>
    <row r="357" spans="1:7" ht="14.25" customHeight="1" x14ac:dyDescent="0.3">
      <c r="A357" s="2"/>
      <c r="B357" s="2"/>
      <c r="F357" s="5"/>
      <c r="G357" s="5"/>
    </row>
    <row r="358" spans="1:7" ht="14.25" customHeight="1" x14ac:dyDescent="0.3">
      <c r="A358" s="2"/>
      <c r="B358" s="2"/>
      <c r="F358" s="5"/>
      <c r="G358" s="5"/>
    </row>
    <row r="359" spans="1:7" ht="14.25" customHeight="1" x14ac:dyDescent="0.3">
      <c r="A359" s="2"/>
      <c r="B359" s="2"/>
      <c r="F359" s="5"/>
      <c r="G359" s="5"/>
    </row>
    <row r="360" spans="1:7" ht="14.25" customHeight="1" x14ac:dyDescent="0.3">
      <c r="A360" s="2"/>
      <c r="B360" s="2"/>
      <c r="F360" s="5"/>
      <c r="G360" s="5"/>
    </row>
    <row r="361" spans="1:7" ht="14.25" customHeight="1" x14ac:dyDescent="0.3">
      <c r="A361" s="2"/>
      <c r="B361" s="2"/>
      <c r="F361" s="5"/>
      <c r="G361" s="5"/>
    </row>
    <row r="362" spans="1:7" ht="14.25" customHeight="1" x14ac:dyDescent="0.3">
      <c r="A362" s="2"/>
      <c r="B362" s="2"/>
      <c r="F362" s="5"/>
      <c r="G362" s="5"/>
    </row>
    <row r="363" spans="1:7" ht="14.25" customHeight="1" x14ac:dyDescent="0.3">
      <c r="A363" s="2"/>
      <c r="B363" s="2"/>
      <c r="F363" s="5"/>
      <c r="G363" s="5"/>
    </row>
    <row r="364" spans="1:7" ht="14.25" customHeight="1" x14ac:dyDescent="0.3">
      <c r="A364" s="2"/>
      <c r="B364" s="2"/>
      <c r="F364" s="5"/>
      <c r="G364" s="5"/>
    </row>
    <row r="365" spans="1:7" ht="14.25" customHeight="1" x14ac:dyDescent="0.3">
      <c r="A365" s="2"/>
      <c r="B365" s="2"/>
      <c r="F365" s="5"/>
      <c r="G365" s="5"/>
    </row>
    <row r="366" spans="1:7" ht="14.25" customHeight="1" x14ac:dyDescent="0.3">
      <c r="A366" s="2"/>
      <c r="B366" s="2"/>
      <c r="F366" s="5"/>
      <c r="G366" s="5"/>
    </row>
    <row r="367" spans="1:7" ht="14.25" customHeight="1" x14ac:dyDescent="0.3">
      <c r="A367" s="2"/>
      <c r="B367" s="2"/>
      <c r="F367" s="5"/>
      <c r="G367" s="5"/>
    </row>
    <row r="368" spans="1:7" ht="14.25" customHeight="1" x14ac:dyDescent="0.3">
      <c r="A368" s="2"/>
      <c r="B368" s="2"/>
      <c r="F368" s="5"/>
      <c r="G368" s="5"/>
    </row>
    <row r="369" spans="1:7" ht="14.25" customHeight="1" x14ac:dyDescent="0.3">
      <c r="A369" s="2"/>
      <c r="B369" s="2"/>
      <c r="F369" s="5"/>
      <c r="G369" s="5"/>
    </row>
    <row r="370" spans="1:7" ht="14.25" customHeight="1" x14ac:dyDescent="0.3">
      <c r="A370" s="2"/>
      <c r="B370" s="2"/>
      <c r="F370" s="5"/>
      <c r="G370" s="5"/>
    </row>
    <row r="371" spans="1:7" ht="14.25" customHeight="1" x14ac:dyDescent="0.3">
      <c r="A371" s="2"/>
      <c r="B371" s="2"/>
      <c r="F371" s="5"/>
      <c r="G371" s="5"/>
    </row>
    <row r="372" spans="1:7" ht="14.25" customHeight="1" x14ac:dyDescent="0.3">
      <c r="A372" s="2"/>
      <c r="B372" s="2"/>
      <c r="F372" s="5"/>
      <c r="G372" s="5"/>
    </row>
    <row r="373" spans="1:7" ht="14.25" customHeight="1" x14ac:dyDescent="0.3">
      <c r="A373" s="2"/>
      <c r="B373" s="2"/>
      <c r="F373" s="5"/>
      <c r="G373" s="5"/>
    </row>
    <row r="374" spans="1:7" ht="14.25" customHeight="1" x14ac:dyDescent="0.3">
      <c r="A374" s="2"/>
      <c r="B374" s="2"/>
      <c r="F374" s="5"/>
      <c r="G374" s="5"/>
    </row>
    <row r="375" spans="1:7" ht="14.25" customHeight="1" x14ac:dyDescent="0.3">
      <c r="A375" s="2"/>
      <c r="B375" s="2"/>
      <c r="F375" s="5"/>
      <c r="G375" s="5"/>
    </row>
    <row r="376" spans="1:7" ht="14.25" customHeight="1" x14ac:dyDescent="0.3">
      <c r="A376" s="2"/>
      <c r="B376" s="2"/>
      <c r="F376" s="5"/>
      <c r="G376" s="5"/>
    </row>
    <row r="377" spans="1:7" ht="14.25" customHeight="1" x14ac:dyDescent="0.3">
      <c r="A377" s="2"/>
      <c r="B377" s="2"/>
      <c r="F377" s="5"/>
      <c r="G377" s="5"/>
    </row>
    <row r="378" spans="1:7" ht="14.25" customHeight="1" x14ac:dyDescent="0.3">
      <c r="A378" s="2"/>
      <c r="B378" s="2"/>
      <c r="F378" s="5"/>
      <c r="G378" s="5"/>
    </row>
    <row r="379" spans="1:7" ht="14.25" customHeight="1" x14ac:dyDescent="0.3">
      <c r="A379" s="2"/>
      <c r="B379" s="2"/>
      <c r="F379" s="5"/>
      <c r="G379" s="5"/>
    </row>
    <row r="380" spans="1:7" ht="14.25" customHeight="1" x14ac:dyDescent="0.3">
      <c r="A380" s="2"/>
      <c r="B380" s="2"/>
      <c r="F380" s="5"/>
      <c r="G380" s="5"/>
    </row>
    <row r="381" spans="1:7" ht="14.25" customHeight="1" x14ac:dyDescent="0.3">
      <c r="A381" s="2"/>
      <c r="B381" s="2"/>
      <c r="F381" s="5"/>
      <c r="G381" s="5"/>
    </row>
    <row r="382" spans="1:7" ht="14.25" customHeight="1" x14ac:dyDescent="0.3">
      <c r="A382" s="2"/>
      <c r="B382" s="2"/>
      <c r="F382" s="5"/>
      <c r="G382" s="5"/>
    </row>
    <row r="383" spans="1:7" ht="14.25" customHeight="1" x14ac:dyDescent="0.3">
      <c r="A383" s="2"/>
      <c r="B383" s="2"/>
      <c r="F383" s="5"/>
      <c r="G383" s="5"/>
    </row>
    <row r="384" spans="1:7" ht="14.25" customHeight="1" x14ac:dyDescent="0.3">
      <c r="A384" s="2"/>
      <c r="B384" s="2"/>
      <c r="F384" s="5"/>
      <c r="G384" s="5"/>
    </row>
    <row r="385" spans="1:7" ht="14.25" customHeight="1" x14ac:dyDescent="0.3">
      <c r="A385" s="2"/>
      <c r="B385" s="2"/>
      <c r="F385" s="5"/>
      <c r="G385" s="5"/>
    </row>
    <row r="386" spans="1:7" ht="14.25" customHeight="1" x14ac:dyDescent="0.3">
      <c r="A386" s="2"/>
      <c r="B386" s="2"/>
      <c r="F386" s="5"/>
      <c r="G386" s="5"/>
    </row>
    <row r="387" spans="1:7" ht="14.25" customHeight="1" x14ac:dyDescent="0.3">
      <c r="A387" s="2"/>
      <c r="B387" s="2"/>
      <c r="F387" s="5"/>
      <c r="G387" s="5"/>
    </row>
    <row r="388" spans="1:7" ht="14.25" customHeight="1" x14ac:dyDescent="0.3">
      <c r="A388" s="2"/>
      <c r="B388" s="2"/>
      <c r="F388" s="5"/>
      <c r="G388" s="5"/>
    </row>
    <row r="389" spans="1:7" ht="14.25" customHeight="1" x14ac:dyDescent="0.3">
      <c r="A389" s="2"/>
      <c r="B389" s="2"/>
      <c r="F389" s="5"/>
      <c r="G389" s="5"/>
    </row>
    <row r="390" spans="1:7" ht="14.25" customHeight="1" x14ac:dyDescent="0.3">
      <c r="A390" s="2"/>
      <c r="B390" s="2"/>
      <c r="F390" s="5"/>
      <c r="G390" s="5"/>
    </row>
    <row r="391" spans="1:7" ht="14.25" customHeight="1" x14ac:dyDescent="0.3">
      <c r="A391" s="2"/>
      <c r="B391" s="2"/>
      <c r="F391" s="5"/>
      <c r="G391" s="5"/>
    </row>
    <row r="392" spans="1:7" ht="14.25" customHeight="1" x14ac:dyDescent="0.3">
      <c r="A392" s="2"/>
      <c r="B392" s="2"/>
      <c r="F392" s="5"/>
      <c r="G392" s="5"/>
    </row>
    <row r="393" spans="1:7" ht="14.25" customHeight="1" x14ac:dyDescent="0.3">
      <c r="A393" s="2"/>
      <c r="B393" s="2"/>
      <c r="F393" s="5"/>
      <c r="G393" s="5"/>
    </row>
    <row r="394" spans="1:7" ht="14.25" customHeight="1" x14ac:dyDescent="0.3">
      <c r="A394" s="2"/>
      <c r="B394" s="2"/>
      <c r="F394" s="5"/>
      <c r="G394" s="5"/>
    </row>
    <row r="395" spans="1:7" ht="14.25" customHeight="1" x14ac:dyDescent="0.3">
      <c r="A395" s="2"/>
      <c r="B395" s="2"/>
      <c r="F395" s="5"/>
      <c r="G395" s="5"/>
    </row>
    <row r="396" spans="1:7" ht="14.25" customHeight="1" x14ac:dyDescent="0.3">
      <c r="A396" s="2"/>
      <c r="B396" s="2"/>
      <c r="F396" s="5"/>
      <c r="G396" s="5"/>
    </row>
    <row r="397" spans="1:7" ht="14.25" customHeight="1" x14ac:dyDescent="0.3">
      <c r="A397" s="2"/>
      <c r="B397" s="2"/>
      <c r="F397" s="5"/>
      <c r="G397" s="5"/>
    </row>
    <row r="398" spans="1:7" ht="14.25" customHeight="1" x14ac:dyDescent="0.3">
      <c r="A398" s="2"/>
      <c r="B398" s="2"/>
      <c r="F398" s="5"/>
      <c r="G398" s="5"/>
    </row>
    <row r="399" spans="1:7" ht="14.25" customHeight="1" x14ac:dyDescent="0.3">
      <c r="A399" s="2"/>
      <c r="B399" s="2"/>
      <c r="F399" s="5"/>
      <c r="G399" s="5"/>
    </row>
    <row r="400" spans="1:7" ht="14.25" customHeight="1" x14ac:dyDescent="0.3">
      <c r="A400" s="2"/>
      <c r="B400" s="2"/>
      <c r="F400" s="5"/>
      <c r="G400" s="5"/>
    </row>
    <row r="401" spans="1:7" ht="14.25" customHeight="1" x14ac:dyDescent="0.3">
      <c r="A401" s="2"/>
      <c r="B401" s="2"/>
      <c r="F401" s="5"/>
      <c r="G401" s="5"/>
    </row>
    <row r="402" spans="1:7" ht="14.25" customHeight="1" x14ac:dyDescent="0.3">
      <c r="A402" s="2"/>
      <c r="B402" s="2"/>
      <c r="F402" s="5"/>
      <c r="G402" s="5"/>
    </row>
    <row r="403" spans="1:7" ht="14.25" customHeight="1" x14ac:dyDescent="0.3">
      <c r="A403" s="2"/>
      <c r="B403" s="2"/>
      <c r="F403" s="5"/>
      <c r="G403" s="5"/>
    </row>
    <row r="404" spans="1:7" ht="14.25" customHeight="1" x14ac:dyDescent="0.3">
      <c r="A404" s="2"/>
      <c r="B404" s="2"/>
      <c r="F404" s="5"/>
      <c r="G404" s="5"/>
    </row>
    <row r="405" spans="1:7" ht="14.25" customHeight="1" x14ac:dyDescent="0.3">
      <c r="A405" s="2"/>
      <c r="B405" s="2"/>
      <c r="F405" s="5"/>
      <c r="G405" s="5"/>
    </row>
    <row r="406" spans="1:7" ht="14.25" customHeight="1" x14ac:dyDescent="0.3">
      <c r="A406" s="2"/>
      <c r="B406" s="2"/>
      <c r="F406" s="5"/>
      <c r="G406" s="5"/>
    </row>
    <row r="407" spans="1:7" ht="14.25" customHeight="1" x14ac:dyDescent="0.3">
      <c r="A407" s="2"/>
      <c r="B407" s="2"/>
      <c r="F407" s="5"/>
      <c r="G407" s="5"/>
    </row>
    <row r="408" spans="1:7" ht="14.25" customHeight="1" x14ac:dyDescent="0.3">
      <c r="A408" s="2"/>
      <c r="B408" s="2"/>
      <c r="F408" s="5"/>
      <c r="G408" s="5"/>
    </row>
    <row r="409" spans="1:7" ht="14.25" customHeight="1" x14ac:dyDescent="0.3">
      <c r="A409" s="2"/>
      <c r="B409" s="2"/>
      <c r="F409" s="5"/>
      <c r="G409" s="5"/>
    </row>
    <row r="410" spans="1:7" ht="14.25" customHeight="1" x14ac:dyDescent="0.3">
      <c r="A410" s="2"/>
      <c r="B410" s="2"/>
      <c r="F410" s="5"/>
      <c r="G410" s="5"/>
    </row>
    <row r="411" spans="1:7" ht="14.25" customHeight="1" x14ac:dyDescent="0.3">
      <c r="A411" s="2"/>
      <c r="B411" s="2"/>
      <c r="F411" s="5"/>
      <c r="G411" s="5"/>
    </row>
    <row r="412" spans="1:7" ht="14.25" customHeight="1" x14ac:dyDescent="0.3">
      <c r="A412" s="2"/>
      <c r="B412" s="2"/>
      <c r="F412" s="5"/>
      <c r="G412" s="5"/>
    </row>
    <row r="413" spans="1:7" ht="14.25" customHeight="1" x14ac:dyDescent="0.3">
      <c r="A413" s="2"/>
      <c r="B413" s="2"/>
      <c r="F413" s="5"/>
      <c r="G413" s="5"/>
    </row>
    <row r="414" spans="1:7" ht="14.25" customHeight="1" x14ac:dyDescent="0.3">
      <c r="A414" s="2"/>
      <c r="B414" s="2"/>
      <c r="F414" s="5"/>
      <c r="G414" s="5"/>
    </row>
    <row r="415" spans="1:7" ht="14.25" customHeight="1" x14ac:dyDescent="0.3">
      <c r="A415" s="2"/>
      <c r="B415" s="2"/>
      <c r="F415" s="5"/>
      <c r="G415" s="5"/>
    </row>
    <row r="416" spans="1:7" ht="14.25" customHeight="1" x14ac:dyDescent="0.3">
      <c r="A416" s="2"/>
      <c r="B416" s="2"/>
      <c r="F416" s="5"/>
      <c r="G416" s="5"/>
    </row>
    <row r="417" spans="1:7" ht="14.25" customHeight="1" x14ac:dyDescent="0.3">
      <c r="A417" s="2"/>
      <c r="B417" s="2"/>
      <c r="F417" s="5"/>
      <c r="G417" s="5"/>
    </row>
    <row r="418" spans="1:7" ht="14.25" customHeight="1" x14ac:dyDescent="0.3">
      <c r="A418" s="2"/>
      <c r="B418" s="2"/>
      <c r="F418" s="5"/>
      <c r="G418" s="5"/>
    </row>
    <row r="419" spans="1:7" ht="14.25" customHeight="1" x14ac:dyDescent="0.3">
      <c r="A419" s="2"/>
      <c r="B419" s="2"/>
      <c r="F419" s="5"/>
      <c r="G419" s="5"/>
    </row>
    <row r="420" spans="1:7" ht="14.25" customHeight="1" x14ac:dyDescent="0.3">
      <c r="A420" s="2"/>
      <c r="B420" s="2"/>
      <c r="F420" s="5"/>
      <c r="G420" s="5"/>
    </row>
    <row r="421" spans="1:7" ht="14.25" customHeight="1" x14ac:dyDescent="0.3">
      <c r="A421" s="2"/>
      <c r="B421" s="2"/>
      <c r="F421" s="5"/>
      <c r="G421" s="5"/>
    </row>
    <row r="422" spans="1:7" ht="14.25" customHeight="1" x14ac:dyDescent="0.3">
      <c r="A422" s="2"/>
      <c r="B422" s="2"/>
      <c r="F422" s="5"/>
      <c r="G422" s="5"/>
    </row>
    <row r="423" spans="1:7" ht="14.25" customHeight="1" x14ac:dyDescent="0.3">
      <c r="A423" s="2"/>
      <c r="B423" s="2"/>
      <c r="F423" s="5"/>
      <c r="G423" s="5"/>
    </row>
    <row r="424" spans="1:7" ht="14.25" customHeight="1" x14ac:dyDescent="0.3">
      <c r="A424" s="2"/>
      <c r="B424" s="2"/>
      <c r="F424" s="5"/>
      <c r="G424" s="5"/>
    </row>
    <row r="425" spans="1:7" ht="14.25" customHeight="1" x14ac:dyDescent="0.3">
      <c r="A425" s="2"/>
      <c r="B425" s="2"/>
      <c r="F425" s="5"/>
      <c r="G425" s="5"/>
    </row>
    <row r="426" spans="1:7" ht="14.25" customHeight="1" x14ac:dyDescent="0.3">
      <c r="A426" s="2"/>
      <c r="B426" s="2"/>
      <c r="F426" s="5"/>
      <c r="G426" s="5"/>
    </row>
    <row r="427" spans="1:7" ht="14.25" customHeight="1" x14ac:dyDescent="0.3">
      <c r="A427" s="2"/>
      <c r="B427" s="2"/>
      <c r="F427" s="5"/>
      <c r="G427" s="5"/>
    </row>
    <row r="428" spans="1:7" ht="14.25" customHeight="1" x14ac:dyDescent="0.3">
      <c r="A428" s="2"/>
      <c r="B428" s="2"/>
      <c r="F428" s="5"/>
      <c r="G428" s="5"/>
    </row>
    <row r="429" spans="1:7" ht="14.25" customHeight="1" x14ac:dyDescent="0.3">
      <c r="A429" s="2"/>
      <c r="B429" s="2"/>
      <c r="F429" s="5"/>
      <c r="G429" s="5"/>
    </row>
    <row r="430" spans="1:7" ht="14.25" customHeight="1" x14ac:dyDescent="0.3">
      <c r="A430" s="2"/>
      <c r="B430" s="2"/>
      <c r="F430" s="5"/>
      <c r="G430" s="5"/>
    </row>
    <row r="431" spans="1:7" ht="14.25" customHeight="1" x14ac:dyDescent="0.3">
      <c r="A431" s="2"/>
      <c r="B431" s="2"/>
      <c r="F431" s="5"/>
      <c r="G431" s="5"/>
    </row>
    <row r="432" spans="1:7" ht="14.25" customHeight="1" x14ac:dyDescent="0.3">
      <c r="A432" s="2"/>
      <c r="B432" s="2"/>
      <c r="F432" s="5"/>
      <c r="G432" s="5"/>
    </row>
    <row r="433" spans="1:7" ht="14.25" customHeight="1" x14ac:dyDescent="0.3">
      <c r="A433" s="2"/>
      <c r="B433" s="2"/>
      <c r="F433" s="5"/>
      <c r="G433" s="5"/>
    </row>
    <row r="434" spans="1:7" ht="14.25" customHeight="1" x14ac:dyDescent="0.3">
      <c r="A434" s="2"/>
      <c r="B434" s="2"/>
      <c r="F434" s="5"/>
      <c r="G434" s="5"/>
    </row>
    <row r="435" spans="1:7" ht="14.25" customHeight="1" x14ac:dyDescent="0.3">
      <c r="A435" s="2"/>
      <c r="B435" s="2"/>
      <c r="F435" s="5"/>
      <c r="G435" s="5"/>
    </row>
    <row r="436" spans="1:7" ht="14.25" customHeight="1" x14ac:dyDescent="0.3">
      <c r="A436" s="2"/>
      <c r="B436" s="2"/>
      <c r="F436" s="5"/>
      <c r="G436" s="5"/>
    </row>
    <row r="437" spans="1:7" ht="14.25" customHeight="1" x14ac:dyDescent="0.3">
      <c r="A437" s="2"/>
      <c r="B437" s="2"/>
      <c r="F437" s="5"/>
      <c r="G437" s="5"/>
    </row>
    <row r="438" spans="1:7" ht="14.25" customHeight="1" x14ac:dyDescent="0.3">
      <c r="A438" s="2"/>
      <c r="B438" s="2"/>
      <c r="F438" s="5"/>
      <c r="G438" s="5"/>
    </row>
    <row r="439" spans="1:7" ht="14.25" customHeight="1" x14ac:dyDescent="0.3">
      <c r="A439" s="2"/>
      <c r="B439" s="2"/>
      <c r="F439" s="5"/>
      <c r="G439" s="5"/>
    </row>
    <row r="440" spans="1:7" ht="14.25" customHeight="1" x14ac:dyDescent="0.3">
      <c r="A440" s="2"/>
      <c r="B440" s="2"/>
      <c r="F440" s="5"/>
      <c r="G440" s="5"/>
    </row>
    <row r="441" spans="1:7" ht="14.25" customHeight="1" x14ac:dyDescent="0.3">
      <c r="A441" s="2"/>
      <c r="B441" s="2"/>
      <c r="F441" s="5"/>
      <c r="G441" s="5"/>
    </row>
    <row r="442" spans="1:7" ht="14.25" customHeight="1" x14ac:dyDescent="0.3">
      <c r="A442" s="2"/>
      <c r="B442" s="2"/>
      <c r="F442" s="5"/>
      <c r="G442" s="5"/>
    </row>
    <row r="443" spans="1:7" ht="14.25" customHeight="1" x14ac:dyDescent="0.3">
      <c r="A443" s="2"/>
      <c r="B443" s="2"/>
      <c r="F443" s="5"/>
      <c r="G443" s="5"/>
    </row>
    <row r="444" spans="1:7" ht="14.25" customHeight="1" x14ac:dyDescent="0.3">
      <c r="A444" s="2"/>
      <c r="B444" s="2"/>
      <c r="F444" s="5"/>
      <c r="G444" s="5"/>
    </row>
    <row r="445" spans="1:7" ht="14.25" customHeight="1" x14ac:dyDescent="0.3">
      <c r="A445" s="2"/>
      <c r="B445" s="2"/>
      <c r="F445" s="5"/>
      <c r="G445" s="5"/>
    </row>
    <row r="446" spans="1:7" ht="14.25" customHeight="1" x14ac:dyDescent="0.3">
      <c r="A446" s="2"/>
      <c r="B446" s="2"/>
      <c r="F446" s="5"/>
      <c r="G446" s="5"/>
    </row>
    <row r="447" spans="1:7" ht="14.25" customHeight="1" x14ac:dyDescent="0.3">
      <c r="A447" s="2"/>
      <c r="B447" s="2"/>
      <c r="F447" s="5"/>
      <c r="G447" s="5"/>
    </row>
    <row r="448" spans="1:7" ht="14.25" customHeight="1" x14ac:dyDescent="0.3">
      <c r="A448" s="2"/>
      <c r="B448" s="2"/>
      <c r="F448" s="5"/>
      <c r="G448" s="5"/>
    </row>
    <row r="449" spans="1:7" ht="14.25" customHeight="1" x14ac:dyDescent="0.3">
      <c r="A449" s="2"/>
      <c r="B449" s="2"/>
      <c r="F449" s="5"/>
      <c r="G449" s="5"/>
    </row>
    <row r="450" spans="1:7" ht="14.25" customHeight="1" x14ac:dyDescent="0.3">
      <c r="A450" s="2"/>
      <c r="B450" s="2"/>
      <c r="F450" s="5"/>
      <c r="G450" s="5"/>
    </row>
    <row r="451" spans="1:7" ht="14.25" customHeight="1" x14ac:dyDescent="0.3">
      <c r="A451" s="2"/>
      <c r="B451" s="2"/>
      <c r="F451" s="5"/>
      <c r="G451" s="5"/>
    </row>
    <row r="452" spans="1:7" ht="14.25" customHeight="1" x14ac:dyDescent="0.3">
      <c r="A452" s="2"/>
      <c r="B452" s="2"/>
      <c r="F452" s="5"/>
      <c r="G452" s="5"/>
    </row>
    <row r="453" spans="1:7" ht="14.25" customHeight="1" x14ac:dyDescent="0.3">
      <c r="A453" s="2"/>
      <c r="B453" s="2"/>
      <c r="F453" s="5"/>
      <c r="G453" s="5"/>
    </row>
    <row r="454" spans="1:7" ht="14.25" customHeight="1" x14ac:dyDescent="0.3">
      <c r="A454" s="2"/>
      <c r="B454" s="2"/>
      <c r="F454" s="5"/>
      <c r="G454" s="5"/>
    </row>
    <row r="455" spans="1:7" ht="14.25" customHeight="1" x14ac:dyDescent="0.3">
      <c r="A455" s="2"/>
      <c r="B455" s="2"/>
      <c r="F455" s="5"/>
      <c r="G455" s="5"/>
    </row>
    <row r="456" spans="1:7" ht="14.25" customHeight="1" x14ac:dyDescent="0.3">
      <c r="A456" s="2"/>
      <c r="B456" s="2"/>
      <c r="F456" s="5"/>
      <c r="G456" s="5"/>
    </row>
    <row r="457" spans="1:7" ht="14.25" customHeight="1" x14ac:dyDescent="0.3">
      <c r="A457" s="2"/>
      <c r="B457" s="2"/>
      <c r="F457" s="5"/>
      <c r="G457" s="5"/>
    </row>
    <row r="458" spans="1:7" ht="14.25" customHeight="1" x14ac:dyDescent="0.3">
      <c r="A458" s="2"/>
      <c r="B458" s="2"/>
      <c r="F458" s="5"/>
      <c r="G458" s="5"/>
    </row>
    <row r="459" spans="1:7" ht="14.25" customHeight="1" x14ac:dyDescent="0.3">
      <c r="A459" s="2"/>
      <c r="B459" s="2"/>
      <c r="F459" s="5"/>
      <c r="G459" s="5"/>
    </row>
    <row r="460" spans="1:7" ht="14.25" customHeight="1" x14ac:dyDescent="0.3">
      <c r="A460" s="2"/>
      <c r="B460" s="2"/>
      <c r="F460" s="5"/>
      <c r="G460" s="5"/>
    </row>
    <row r="461" spans="1:7" ht="14.25" customHeight="1" x14ac:dyDescent="0.3">
      <c r="A461" s="2"/>
      <c r="B461" s="2"/>
      <c r="F461" s="5"/>
      <c r="G461" s="5"/>
    </row>
    <row r="462" spans="1:7" ht="14.25" customHeight="1" x14ac:dyDescent="0.3">
      <c r="A462" s="2"/>
      <c r="B462" s="2"/>
      <c r="F462" s="5"/>
      <c r="G462" s="5"/>
    </row>
    <row r="463" spans="1:7" ht="14.25" customHeight="1" x14ac:dyDescent="0.3">
      <c r="A463" s="2"/>
      <c r="B463" s="2"/>
      <c r="F463" s="5"/>
      <c r="G463" s="5"/>
    </row>
    <row r="464" spans="1:7" ht="14.25" customHeight="1" x14ac:dyDescent="0.3">
      <c r="A464" s="2"/>
      <c r="B464" s="2"/>
      <c r="F464" s="5"/>
      <c r="G464" s="5"/>
    </row>
    <row r="465" spans="1:7" ht="14.25" customHeight="1" x14ac:dyDescent="0.3">
      <c r="A465" s="2"/>
      <c r="B465" s="2"/>
      <c r="F465" s="5"/>
      <c r="G465" s="5"/>
    </row>
    <row r="466" spans="1:7" ht="14.25" customHeight="1" x14ac:dyDescent="0.3">
      <c r="A466" s="2"/>
      <c r="B466" s="2"/>
      <c r="F466" s="5"/>
      <c r="G466" s="5"/>
    </row>
    <row r="467" spans="1:7" ht="14.25" customHeight="1" x14ac:dyDescent="0.3">
      <c r="A467" s="2"/>
      <c r="B467" s="2"/>
      <c r="F467" s="5"/>
      <c r="G467" s="5"/>
    </row>
    <row r="468" spans="1:7" ht="14.25" customHeight="1" x14ac:dyDescent="0.3">
      <c r="A468" s="2"/>
      <c r="B468" s="2"/>
      <c r="F468" s="5"/>
      <c r="G468" s="5"/>
    </row>
    <row r="469" spans="1:7" ht="14.25" customHeight="1" x14ac:dyDescent="0.3">
      <c r="A469" s="2"/>
      <c r="B469" s="2"/>
      <c r="F469" s="5"/>
      <c r="G469" s="5"/>
    </row>
    <row r="470" spans="1:7" ht="14.25" customHeight="1" x14ac:dyDescent="0.3">
      <c r="A470" s="2"/>
      <c r="B470" s="2"/>
      <c r="F470" s="5"/>
      <c r="G470" s="5"/>
    </row>
    <row r="471" spans="1:7" ht="14.25" customHeight="1" x14ac:dyDescent="0.3">
      <c r="A471" s="2"/>
      <c r="B471" s="2"/>
      <c r="F471" s="5"/>
      <c r="G471" s="5"/>
    </row>
    <row r="472" spans="1:7" ht="14.25" customHeight="1" x14ac:dyDescent="0.3">
      <c r="A472" s="2"/>
      <c r="B472" s="2"/>
      <c r="F472" s="5"/>
      <c r="G472" s="5"/>
    </row>
    <row r="473" spans="1:7" ht="14.25" customHeight="1" x14ac:dyDescent="0.3">
      <c r="A473" s="2"/>
      <c r="B473" s="2"/>
      <c r="F473" s="5"/>
      <c r="G473" s="5"/>
    </row>
    <row r="474" spans="1:7" ht="14.25" customHeight="1" x14ac:dyDescent="0.3">
      <c r="A474" s="2"/>
      <c r="B474" s="2"/>
      <c r="F474" s="5"/>
      <c r="G474" s="5"/>
    </row>
    <row r="475" spans="1:7" ht="14.25" customHeight="1" x14ac:dyDescent="0.3">
      <c r="A475" s="2"/>
      <c r="B475" s="2"/>
      <c r="F475" s="5"/>
      <c r="G475" s="5"/>
    </row>
    <row r="476" spans="1:7" ht="14.25" customHeight="1" x14ac:dyDescent="0.3">
      <c r="A476" s="2"/>
      <c r="B476" s="2"/>
      <c r="F476" s="5"/>
      <c r="G476" s="5"/>
    </row>
    <row r="477" spans="1:7" ht="14.25" customHeight="1" x14ac:dyDescent="0.3">
      <c r="A477" s="2"/>
      <c r="B477" s="2"/>
      <c r="F477" s="5"/>
      <c r="G477" s="5"/>
    </row>
    <row r="478" spans="1:7" ht="14.25" customHeight="1" x14ac:dyDescent="0.3">
      <c r="A478" s="2"/>
      <c r="B478" s="2"/>
      <c r="F478" s="5"/>
      <c r="G478" s="5"/>
    </row>
    <row r="479" spans="1:7" ht="14.25" customHeight="1" x14ac:dyDescent="0.3">
      <c r="A479" s="2"/>
      <c r="B479" s="2"/>
      <c r="F479" s="5"/>
      <c r="G479" s="5"/>
    </row>
    <row r="480" spans="1:7" ht="14.25" customHeight="1" x14ac:dyDescent="0.3">
      <c r="A480" s="2"/>
      <c r="B480" s="2"/>
      <c r="F480" s="5"/>
      <c r="G480" s="5"/>
    </row>
    <row r="481" spans="1:7" ht="14.25" customHeight="1" x14ac:dyDescent="0.3">
      <c r="A481" s="2"/>
      <c r="B481" s="2"/>
      <c r="F481" s="5"/>
      <c r="G481" s="5"/>
    </row>
    <row r="482" spans="1:7" ht="14.25" customHeight="1" x14ac:dyDescent="0.3">
      <c r="A482" s="2"/>
      <c r="B482" s="2"/>
      <c r="F482" s="5"/>
      <c r="G482" s="5"/>
    </row>
    <row r="483" spans="1:7" ht="14.25" customHeight="1" x14ac:dyDescent="0.3">
      <c r="A483" s="2"/>
      <c r="B483" s="2"/>
      <c r="F483" s="5"/>
      <c r="G483" s="5"/>
    </row>
    <row r="484" spans="1:7" ht="14.25" customHeight="1" x14ac:dyDescent="0.3">
      <c r="A484" s="2"/>
      <c r="B484" s="2"/>
      <c r="F484" s="5"/>
      <c r="G484" s="5"/>
    </row>
    <row r="485" spans="1:7" ht="14.25" customHeight="1" x14ac:dyDescent="0.3">
      <c r="A485" s="2"/>
      <c r="B485" s="2"/>
      <c r="F485" s="5"/>
      <c r="G485" s="5"/>
    </row>
    <row r="486" spans="1:7" ht="14.25" customHeight="1" x14ac:dyDescent="0.3">
      <c r="A486" s="2"/>
      <c r="B486" s="2"/>
      <c r="F486" s="5"/>
      <c r="G486" s="5"/>
    </row>
    <row r="487" spans="1:7" ht="14.25" customHeight="1" x14ac:dyDescent="0.3">
      <c r="A487" s="2"/>
      <c r="B487" s="2"/>
      <c r="F487" s="5"/>
      <c r="G487" s="5"/>
    </row>
    <row r="488" spans="1:7" ht="14.25" customHeight="1" x14ac:dyDescent="0.3">
      <c r="A488" s="2"/>
      <c r="B488" s="2"/>
      <c r="F488" s="5"/>
      <c r="G488" s="5"/>
    </row>
    <row r="489" spans="1:7" ht="14.25" customHeight="1" x14ac:dyDescent="0.3">
      <c r="A489" s="2"/>
      <c r="B489" s="2"/>
      <c r="F489" s="5"/>
      <c r="G489" s="5"/>
    </row>
    <row r="490" spans="1:7" ht="14.25" customHeight="1" x14ac:dyDescent="0.3">
      <c r="A490" s="2"/>
      <c r="B490" s="2"/>
      <c r="F490" s="5"/>
      <c r="G490" s="5"/>
    </row>
    <row r="491" spans="1:7" ht="14.25" customHeight="1" x14ac:dyDescent="0.3">
      <c r="A491" s="2"/>
      <c r="B491" s="2"/>
      <c r="F491" s="5"/>
      <c r="G491" s="5"/>
    </row>
    <row r="492" spans="1:7" ht="14.25" customHeight="1" x14ac:dyDescent="0.3">
      <c r="A492" s="2"/>
      <c r="B492" s="2"/>
      <c r="F492" s="5"/>
      <c r="G492" s="5"/>
    </row>
    <row r="493" spans="1:7" ht="14.25" customHeight="1" x14ac:dyDescent="0.3">
      <c r="A493" s="2"/>
      <c r="B493" s="2"/>
      <c r="F493" s="5"/>
      <c r="G493" s="5"/>
    </row>
    <row r="494" spans="1:7" ht="14.25" customHeight="1" x14ac:dyDescent="0.3">
      <c r="A494" s="2"/>
      <c r="B494" s="2"/>
      <c r="F494" s="5"/>
      <c r="G494" s="5"/>
    </row>
    <row r="495" spans="1:7" ht="14.25" customHeight="1" x14ac:dyDescent="0.3">
      <c r="A495" s="2"/>
      <c r="B495" s="2"/>
      <c r="F495" s="5"/>
      <c r="G495" s="5"/>
    </row>
    <row r="496" spans="1:7" ht="14.25" customHeight="1" x14ac:dyDescent="0.3">
      <c r="A496" s="2"/>
      <c r="B496" s="2"/>
      <c r="F496" s="5"/>
      <c r="G496" s="5"/>
    </row>
    <row r="497" spans="1:7" ht="14.25" customHeight="1" x14ac:dyDescent="0.3">
      <c r="A497" s="2"/>
      <c r="B497" s="2"/>
      <c r="F497" s="5"/>
      <c r="G497" s="5"/>
    </row>
    <row r="498" spans="1:7" ht="14.25" customHeight="1" x14ac:dyDescent="0.3">
      <c r="A498" s="2"/>
      <c r="B498" s="2"/>
      <c r="F498" s="5"/>
      <c r="G498" s="5"/>
    </row>
    <row r="499" spans="1:7" ht="14.25" customHeight="1" x14ac:dyDescent="0.3">
      <c r="A499" s="2"/>
      <c r="B499" s="2"/>
      <c r="F499" s="5"/>
      <c r="G499" s="5"/>
    </row>
    <row r="500" spans="1:7" ht="14.25" customHeight="1" x14ac:dyDescent="0.3">
      <c r="A500" s="2"/>
      <c r="B500" s="2"/>
      <c r="F500" s="5"/>
      <c r="G500" s="5"/>
    </row>
    <row r="501" spans="1:7" ht="14.25" customHeight="1" x14ac:dyDescent="0.3">
      <c r="A501" s="2"/>
      <c r="B501" s="2"/>
      <c r="F501" s="5"/>
      <c r="G501" s="5"/>
    </row>
    <row r="502" spans="1:7" ht="14.25" customHeight="1" x14ac:dyDescent="0.3">
      <c r="A502" s="2"/>
      <c r="B502" s="2"/>
      <c r="F502" s="5"/>
      <c r="G502" s="5"/>
    </row>
    <row r="503" spans="1:7" ht="14.25" customHeight="1" x14ac:dyDescent="0.3">
      <c r="A503" s="2"/>
      <c r="B503" s="2"/>
      <c r="F503" s="5"/>
      <c r="G503" s="5"/>
    </row>
    <row r="504" spans="1:7" ht="14.25" customHeight="1" x14ac:dyDescent="0.3">
      <c r="A504" s="2"/>
      <c r="B504" s="2"/>
      <c r="F504" s="5"/>
      <c r="G504" s="5"/>
    </row>
    <row r="505" spans="1:7" ht="14.25" customHeight="1" x14ac:dyDescent="0.3">
      <c r="A505" s="2"/>
      <c r="B505" s="2"/>
      <c r="F505" s="5"/>
      <c r="G505" s="5"/>
    </row>
    <row r="506" spans="1:7" ht="14.25" customHeight="1" x14ac:dyDescent="0.3">
      <c r="A506" s="2"/>
      <c r="B506" s="2"/>
      <c r="F506" s="5"/>
      <c r="G506" s="5"/>
    </row>
    <row r="507" spans="1:7" ht="14.25" customHeight="1" x14ac:dyDescent="0.3">
      <c r="A507" s="2"/>
      <c r="B507" s="2"/>
      <c r="F507" s="5"/>
      <c r="G507" s="5"/>
    </row>
    <row r="508" spans="1:7" ht="14.25" customHeight="1" x14ac:dyDescent="0.3">
      <c r="A508" s="2"/>
      <c r="B508" s="2"/>
      <c r="F508" s="5"/>
      <c r="G508" s="5"/>
    </row>
    <row r="509" spans="1:7" ht="14.25" customHeight="1" x14ac:dyDescent="0.3">
      <c r="A509" s="2"/>
      <c r="B509" s="2"/>
      <c r="F509" s="5"/>
      <c r="G509" s="5"/>
    </row>
    <row r="510" spans="1:7" ht="14.25" customHeight="1" x14ac:dyDescent="0.3">
      <c r="A510" s="2"/>
      <c r="B510" s="2"/>
      <c r="F510" s="5"/>
      <c r="G510" s="5"/>
    </row>
    <row r="511" spans="1:7" ht="14.25" customHeight="1" x14ac:dyDescent="0.3">
      <c r="A511" s="2"/>
      <c r="B511" s="2"/>
      <c r="F511" s="5"/>
      <c r="G511" s="5"/>
    </row>
    <row r="512" spans="1:7" ht="14.25" customHeight="1" x14ac:dyDescent="0.3">
      <c r="A512" s="2"/>
      <c r="B512" s="2"/>
      <c r="F512" s="5"/>
      <c r="G512" s="5"/>
    </row>
    <row r="513" spans="1:7" ht="14.25" customHeight="1" x14ac:dyDescent="0.3">
      <c r="A513" s="2"/>
      <c r="B513" s="2"/>
      <c r="F513" s="5"/>
      <c r="G513" s="5"/>
    </row>
    <row r="514" spans="1:7" ht="14.25" customHeight="1" x14ac:dyDescent="0.3">
      <c r="A514" s="2"/>
      <c r="B514" s="2"/>
      <c r="F514" s="5"/>
      <c r="G514" s="5"/>
    </row>
    <row r="515" spans="1:7" ht="14.25" customHeight="1" x14ac:dyDescent="0.3">
      <c r="A515" s="2"/>
      <c r="B515" s="2"/>
      <c r="F515" s="5"/>
      <c r="G515" s="5"/>
    </row>
    <row r="516" spans="1:7" ht="14.25" customHeight="1" x14ac:dyDescent="0.3">
      <c r="A516" s="2"/>
      <c r="B516" s="2"/>
      <c r="F516" s="5"/>
      <c r="G516" s="5"/>
    </row>
    <row r="517" spans="1:7" ht="14.25" customHeight="1" x14ac:dyDescent="0.3">
      <c r="A517" s="2"/>
      <c r="B517" s="2"/>
      <c r="F517" s="5"/>
      <c r="G517" s="5"/>
    </row>
    <row r="518" spans="1:7" ht="14.25" customHeight="1" x14ac:dyDescent="0.3">
      <c r="A518" s="2"/>
      <c r="B518" s="2"/>
      <c r="F518" s="5"/>
      <c r="G518" s="5"/>
    </row>
    <row r="519" spans="1:7" ht="14.25" customHeight="1" x14ac:dyDescent="0.3">
      <c r="A519" s="2"/>
      <c r="B519" s="2"/>
      <c r="F519" s="5"/>
      <c r="G519" s="5"/>
    </row>
    <row r="520" spans="1:7" ht="14.25" customHeight="1" x14ac:dyDescent="0.3">
      <c r="A520" s="2"/>
      <c r="B520" s="2"/>
      <c r="F520" s="5"/>
      <c r="G520" s="5"/>
    </row>
    <row r="521" spans="1:7" ht="14.25" customHeight="1" x14ac:dyDescent="0.3">
      <c r="A521" s="2"/>
      <c r="B521" s="2"/>
      <c r="F521" s="5"/>
      <c r="G521" s="5"/>
    </row>
    <row r="522" spans="1:7" ht="14.25" customHeight="1" x14ac:dyDescent="0.3">
      <c r="A522" s="2"/>
      <c r="B522" s="2"/>
      <c r="F522" s="5"/>
      <c r="G522" s="5"/>
    </row>
    <row r="523" spans="1:7" ht="14.25" customHeight="1" x14ac:dyDescent="0.3">
      <c r="A523" s="2"/>
      <c r="B523" s="2"/>
      <c r="F523" s="5"/>
      <c r="G523" s="5"/>
    </row>
    <row r="524" spans="1:7" ht="14.25" customHeight="1" x14ac:dyDescent="0.3">
      <c r="A524" s="2"/>
      <c r="B524" s="2"/>
      <c r="F524" s="5"/>
      <c r="G524" s="5"/>
    </row>
    <row r="525" spans="1:7" ht="14.25" customHeight="1" x14ac:dyDescent="0.3">
      <c r="A525" s="2"/>
      <c r="B525" s="2"/>
      <c r="F525" s="5"/>
      <c r="G525" s="5"/>
    </row>
    <row r="526" spans="1:7" ht="14.25" customHeight="1" x14ac:dyDescent="0.3">
      <c r="A526" s="2"/>
      <c r="B526" s="2"/>
      <c r="F526" s="5"/>
      <c r="G526" s="5"/>
    </row>
    <row r="527" spans="1:7" ht="14.25" customHeight="1" x14ac:dyDescent="0.3">
      <c r="A527" s="2"/>
      <c r="B527" s="2"/>
      <c r="F527" s="5"/>
      <c r="G527" s="5"/>
    </row>
    <row r="528" spans="1:7" ht="14.25" customHeight="1" x14ac:dyDescent="0.3">
      <c r="A528" s="2"/>
      <c r="B528" s="2"/>
      <c r="F528" s="5"/>
      <c r="G528" s="5"/>
    </row>
    <row r="529" spans="1:7" ht="14.25" customHeight="1" x14ac:dyDescent="0.3">
      <c r="A529" s="2"/>
      <c r="B529" s="2"/>
      <c r="F529" s="5"/>
      <c r="G529" s="5"/>
    </row>
    <row r="530" spans="1:7" ht="14.25" customHeight="1" x14ac:dyDescent="0.3">
      <c r="A530" s="2"/>
      <c r="B530" s="2"/>
      <c r="F530" s="5"/>
      <c r="G530" s="5"/>
    </row>
    <row r="531" spans="1:7" ht="14.25" customHeight="1" x14ac:dyDescent="0.3">
      <c r="A531" s="2"/>
      <c r="B531" s="2"/>
      <c r="F531" s="5"/>
      <c r="G531" s="5"/>
    </row>
    <row r="532" spans="1:7" ht="14.25" customHeight="1" x14ac:dyDescent="0.3">
      <c r="A532" s="2"/>
      <c r="B532" s="2"/>
      <c r="F532" s="5"/>
      <c r="G532" s="5"/>
    </row>
    <row r="533" spans="1:7" ht="14.25" customHeight="1" x14ac:dyDescent="0.3">
      <c r="A533" s="2"/>
      <c r="B533" s="2"/>
      <c r="F533" s="5"/>
      <c r="G533" s="5"/>
    </row>
    <row r="534" spans="1:7" ht="14.25" customHeight="1" x14ac:dyDescent="0.3">
      <c r="A534" s="2"/>
      <c r="B534" s="2"/>
      <c r="F534" s="5"/>
      <c r="G534" s="5"/>
    </row>
    <row r="535" spans="1:7" ht="14.25" customHeight="1" x14ac:dyDescent="0.3">
      <c r="A535" s="2"/>
      <c r="B535" s="2"/>
      <c r="F535" s="5"/>
      <c r="G535" s="5"/>
    </row>
    <row r="536" spans="1:7" ht="14.25" customHeight="1" x14ac:dyDescent="0.3">
      <c r="A536" s="2"/>
      <c r="B536" s="2"/>
      <c r="F536" s="5"/>
      <c r="G536" s="5"/>
    </row>
    <row r="537" spans="1:7" ht="14.25" customHeight="1" x14ac:dyDescent="0.3">
      <c r="A537" s="2"/>
      <c r="B537" s="2"/>
      <c r="F537" s="5"/>
      <c r="G537" s="5"/>
    </row>
    <row r="538" spans="1:7" ht="14.25" customHeight="1" x14ac:dyDescent="0.3">
      <c r="A538" s="2"/>
      <c r="B538" s="2"/>
      <c r="F538" s="5"/>
      <c r="G538" s="5"/>
    </row>
    <row r="539" spans="1:7" ht="14.25" customHeight="1" x14ac:dyDescent="0.3">
      <c r="A539" s="2"/>
      <c r="B539" s="2"/>
      <c r="F539" s="5"/>
      <c r="G539" s="5"/>
    </row>
    <row r="540" spans="1:7" ht="14.25" customHeight="1" x14ac:dyDescent="0.3">
      <c r="A540" s="2"/>
      <c r="B540" s="2"/>
      <c r="F540" s="5"/>
      <c r="G540" s="5"/>
    </row>
    <row r="541" spans="1:7" ht="14.25" customHeight="1" x14ac:dyDescent="0.3">
      <c r="A541" s="2"/>
      <c r="B541" s="2"/>
      <c r="F541" s="5"/>
      <c r="G541" s="5"/>
    </row>
    <row r="542" spans="1:7" ht="14.25" customHeight="1" x14ac:dyDescent="0.3">
      <c r="A542" s="2"/>
      <c r="B542" s="2"/>
      <c r="F542" s="5"/>
      <c r="G542" s="5"/>
    </row>
    <row r="543" spans="1:7" ht="14.25" customHeight="1" x14ac:dyDescent="0.3">
      <c r="A543" s="2"/>
      <c r="B543" s="2"/>
      <c r="F543" s="5"/>
      <c r="G543" s="5"/>
    </row>
    <row r="544" spans="1:7" ht="14.25" customHeight="1" x14ac:dyDescent="0.3">
      <c r="A544" s="2"/>
      <c r="B544" s="2"/>
      <c r="F544" s="5"/>
      <c r="G544" s="5"/>
    </row>
    <row r="545" spans="1:7" ht="14.25" customHeight="1" x14ac:dyDescent="0.3">
      <c r="A545" s="2"/>
      <c r="B545" s="2"/>
      <c r="F545" s="5"/>
      <c r="G545" s="5"/>
    </row>
    <row r="546" spans="1:7" ht="14.25" customHeight="1" x14ac:dyDescent="0.3">
      <c r="A546" s="2"/>
      <c r="B546" s="2"/>
      <c r="F546" s="5"/>
      <c r="G546" s="5"/>
    </row>
    <row r="547" spans="1:7" ht="14.25" customHeight="1" x14ac:dyDescent="0.3">
      <c r="A547" s="2"/>
      <c r="B547" s="2"/>
      <c r="F547" s="5"/>
      <c r="G547" s="5"/>
    </row>
    <row r="548" spans="1:7" ht="14.25" customHeight="1" x14ac:dyDescent="0.3">
      <c r="A548" s="2"/>
      <c r="B548" s="2"/>
      <c r="F548" s="5"/>
      <c r="G548" s="5"/>
    </row>
    <row r="549" spans="1:7" ht="14.25" customHeight="1" x14ac:dyDescent="0.3">
      <c r="A549" s="2"/>
      <c r="B549" s="2"/>
      <c r="F549" s="5"/>
      <c r="G549" s="5"/>
    </row>
    <row r="550" spans="1:7" ht="14.25" customHeight="1" x14ac:dyDescent="0.3">
      <c r="A550" s="2"/>
      <c r="B550" s="2"/>
      <c r="F550" s="5"/>
      <c r="G550" s="5"/>
    </row>
    <row r="551" spans="1:7" ht="14.25" customHeight="1" x14ac:dyDescent="0.3">
      <c r="A551" s="2"/>
      <c r="B551" s="2"/>
      <c r="F551" s="5"/>
      <c r="G551" s="5"/>
    </row>
    <row r="552" spans="1:7" ht="14.25" customHeight="1" x14ac:dyDescent="0.3">
      <c r="A552" s="2"/>
      <c r="B552" s="2"/>
      <c r="F552" s="5"/>
      <c r="G552" s="5"/>
    </row>
    <row r="553" spans="1:7" ht="14.25" customHeight="1" x14ac:dyDescent="0.3">
      <c r="A553" s="2"/>
      <c r="B553" s="2"/>
      <c r="F553" s="5"/>
      <c r="G553" s="5"/>
    </row>
    <row r="554" spans="1:7" ht="14.25" customHeight="1" x14ac:dyDescent="0.3">
      <c r="A554" s="2"/>
      <c r="B554" s="2"/>
      <c r="F554" s="5"/>
      <c r="G554" s="5"/>
    </row>
    <row r="555" spans="1:7" ht="14.25" customHeight="1" x14ac:dyDescent="0.3">
      <c r="A555" s="2"/>
      <c r="B555" s="2"/>
      <c r="F555" s="5"/>
      <c r="G555" s="5"/>
    </row>
    <row r="556" spans="1:7" ht="14.25" customHeight="1" x14ac:dyDescent="0.3">
      <c r="A556" s="2"/>
      <c r="B556" s="2"/>
      <c r="F556" s="5"/>
      <c r="G556" s="5"/>
    </row>
    <row r="557" spans="1:7" ht="14.25" customHeight="1" x14ac:dyDescent="0.3">
      <c r="A557" s="2"/>
      <c r="B557" s="2"/>
      <c r="F557" s="5"/>
      <c r="G557" s="5"/>
    </row>
    <row r="558" spans="1:7" ht="14.25" customHeight="1" x14ac:dyDescent="0.3">
      <c r="A558" s="2"/>
      <c r="B558" s="2"/>
      <c r="F558" s="5"/>
      <c r="G558" s="5"/>
    </row>
    <row r="559" spans="1:7" ht="14.25" customHeight="1" x14ac:dyDescent="0.3">
      <c r="A559" s="2"/>
      <c r="B559" s="2"/>
      <c r="F559" s="5"/>
      <c r="G559" s="5"/>
    </row>
    <row r="560" spans="1:7" ht="14.25" customHeight="1" x14ac:dyDescent="0.3">
      <c r="A560" s="2"/>
      <c r="B560" s="2"/>
      <c r="F560" s="5"/>
      <c r="G560" s="5"/>
    </row>
    <row r="561" spans="1:7" ht="14.25" customHeight="1" x14ac:dyDescent="0.3">
      <c r="A561" s="2"/>
      <c r="B561" s="2"/>
      <c r="F561" s="5"/>
      <c r="G561" s="5"/>
    </row>
    <row r="562" spans="1:7" ht="14.25" customHeight="1" x14ac:dyDescent="0.3">
      <c r="A562" s="2"/>
      <c r="B562" s="2"/>
      <c r="F562" s="5"/>
      <c r="G562" s="5"/>
    </row>
    <row r="563" spans="1:7" ht="14.25" customHeight="1" x14ac:dyDescent="0.3">
      <c r="A563" s="2"/>
      <c r="B563" s="2"/>
      <c r="F563" s="5"/>
      <c r="G563" s="5"/>
    </row>
    <row r="564" spans="1:7" ht="14.25" customHeight="1" x14ac:dyDescent="0.3">
      <c r="A564" s="2"/>
      <c r="B564" s="2"/>
      <c r="F564" s="5"/>
      <c r="G564" s="5"/>
    </row>
    <row r="565" spans="1:7" ht="14.25" customHeight="1" x14ac:dyDescent="0.3">
      <c r="A565" s="2"/>
      <c r="B565" s="2"/>
      <c r="F565" s="5"/>
      <c r="G565" s="5"/>
    </row>
    <row r="566" spans="1:7" ht="14.25" customHeight="1" x14ac:dyDescent="0.3">
      <c r="A566" s="2"/>
      <c r="B566" s="2"/>
      <c r="F566" s="5"/>
      <c r="G566" s="5"/>
    </row>
    <row r="567" spans="1:7" ht="14.25" customHeight="1" x14ac:dyDescent="0.3">
      <c r="A567" s="2"/>
      <c r="B567" s="2"/>
      <c r="F567" s="5"/>
      <c r="G567" s="5"/>
    </row>
    <row r="568" spans="1:7" ht="14.25" customHeight="1" x14ac:dyDescent="0.3">
      <c r="A568" s="2"/>
      <c r="B568" s="2"/>
      <c r="F568" s="5"/>
      <c r="G568" s="5"/>
    </row>
    <row r="569" spans="1:7" ht="14.25" customHeight="1" x14ac:dyDescent="0.3">
      <c r="A569" s="2"/>
      <c r="B569" s="2"/>
      <c r="F569" s="5"/>
      <c r="G569" s="5"/>
    </row>
    <row r="570" spans="1:7" ht="14.25" customHeight="1" x14ac:dyDescent="0.3">
      <c r="A570" s="2"/>
      <c r="B570" s="2"/>
      <c r="F570" s="5"/>
      <c r="G570" s="5"/>
    </row>
    <row r="571" spans="1:7" ht="14.25" customHeight="1" x14ac:dyDescent="0.3">
      <c r="A571" s="2"/>
      <c r="B571" s="2"/>
      <c r="F571" s="5"/>
      <c r="G571" s="5"/>
    </row>
    <row r="572" spans="1:7" ht="14.25" customHeight="1" x14ac:dyDescent="0.3">
      <c r="A572" s="2"/>
      <c r="B572" s="2"/>
      <c r="F572" s="5"/>
      <c r="G572" s="5"/>
    </row>
    <row r="573" spans="1:7" ht="14.25" customHeight="1" x14ac:dyDescent="0.3">
      <c r="A573" s="2"/>
      <c r="B573" s="2"/>
      <c r="F573" s="5"/>
      <c r="G573" s="5"/>
    </row>
    <row r="574" spans="1:7" ht="14.25" customHeight="1" x14ac:dyDescent="0.3">
      <c r="A574" s="2"/>
      <c r="B574" s="2"/>
      <c r="F574" s="5"/>
      <c r="G574" s="5"/>
    </row>
    <row r="575" spans="1:7" ht="14.25" customHeight="1" x14ac:dyDescent="0.3">
      <c r="A575" s="2"/>
      <c r="B575" s="2"/>
      <c r="F575" s="5"/>
      <c r="G575" s="5"/>
    </row>
    <row r="576" spans="1:7" ht="14.25" customHeight="1" x14ac:dyDescent="0.3">
      <c r="A576" s="2"/>
      <c r="B576" s="2"/>
      <c r="F576" s="5"/>
      <c r="G576" s="5"/>
    </row>
    <row r="577" spans="1:7" ht="14.25" customHeight="1" x14ac:dyDescent="0.3">
      <c r="A577" s="2"/>
      <c r="B577" s="2"/>
      <c r="F577" s="5"/>
      <c r="G577" s="5"/>
    </row>
    <row r="578" spans="1:7" ht="14.25" customHeight="1" x14ac:dyDescent="0.3">
      <c r="A578" s="2"/>
      <c r="B578" s="2"/>
      <c r="F578" s="5"/>
      <c r="G578" s="5"/>
    </row>
    <row r="579" spans="1:7" ht="14.25" customHeight="1" x14ac:dyDescent="0.3">
      <c r="A579" s="2"/>
      <c r="B579" s="2"/>
      <c r="F579" s="5"/>
      <c r="G579" s="5"/>
    </row>
    <row r="580" spans="1:7" ht="14.25" customHeight="1" x14ac:dyDescent="0.3">
      <c r="A580" s="2"/>
      <c r="B580" s="2"/>
      <c r="F580" s="5"/>
      <c r="G580" s="5"/>
    </row>
    <row r="581" spans="1:7" ht="14.25" customHeight="1" x14ac:dyDescent="0.3">
      <c r="A581" s="2"/>
      <c r="B581" s="2"/>
      <c r="F581" s="5"/>
      <c r="G581" s="5"/>
    </row>
    <row r="582" spans="1:7" ht="14.25" customHeight="1" x14ac:dyDescent="0.3">
      <c r="A582" s="2"/>
      <c r="B582" s="2"/>
      <c r="F582" s="5"/>
      <c r="G582" s="5"/>
    </row>
    <row r="583" spans="1:7" ht="14.25" customHeight="1" x14ac:dyDescent="0.3">
      <c r="A583" s="2"/>
      <c r="B583" s="2"/>
      <c r="F583" s="5"/>
      <c r="G583" s="5"/>
    </row>
    <row r="584" spans="1:7" ht="14.25" customHeight="1" x14ac:dyDescent="0.3">
      <c r="A584" s="2"/>
      <c r="B584" s="2"/>
      <c r="F584" s="5"/>
      <c r="G584" s="5"/>
    </row>
    <row r="585" spans="1:7" ht="14.25" customHeight="1" x14ac:dyDescent="0.3">
      <c r="A585" s="2"/>
      <c r="B585" s="2"/>
      <c r="F585" s="5"/>
      <c r="G585" s="5"/>
    </row>
    <row r="586" spans="1:7" ht="14.25" customHeight="1" x14ac:dyDescent="0.3">
      <c r="A586" s="2"/>
      <c r="B586" s="2"/>
      <c r="F586" s="5"/>
      <c r="G586" s="5"/>
    </row>
    <row r="587" spans="1:7" ht="14.25" customHeight="1" x14ac:dyDescent="0.3">
      <c r="A587" s="2"/>
      <c r="B587" s="2"/>
      <c r="F587" s="5"/>
      <c r="G587" s="5"/>
    </row>
    <row r="588" spans="1:7" ht="14.25" customHeight="1" x14ac:dyDescent="0.3">
      <c r="A588" s="2"/>
      <c r="B588" s="2"/>
      <c r="F588" s="5"/>
      <c r="G588" s="5"/>
    </row>
    <row r="589" spans="1:7" ht="14.25" customHeight="1" x14ac:dyDescent="0.3">
      <c r="A589" s="2"/>
      <c r="B589" s="2"/>
      <c r="F589" s="5"/>
      <c r="G589" s="5"/>
    </row>
    <row r="590" spans="1:7" ht="14.25" customHeight="1" x14ac:dyDescent="0.3">
      <c r="A590" s="2"/>
      <c r="B590" s="2"/>
      <c r="F590" s="5"/>
      <c r="G590" s="5"/>
    </row>
    <row r="591" spans="1:7" ht="14.25" customHeight="1" x14ac:dyDescent="0.3">
      <c r="A591" s="2"/>
      <c r="B591" s="2"/>
      <c r="F591" s="5"/>
      <c r="G591" s="5"/>
    </row>
    <row r="592" spans="1:7" ht="14.25" customHeight="1" x14ac:dyDescent="0.3">
      <c r="A592" s="2"/>
      <c r="B592" s="2"/>
      <c r="F592" s="5"/>
      <c r="G592" s="5"/>
    </row>
    <row r="593" spans="1:7" ht="14.25" customHeight="1" x14ac:dyDescent="0.3">
      <c r="A593" s="2"/>
      <c r="B593" s="2"/>
      <c r="F593" s="5"/>
      <c r="G593" s="5"/>
    </row>
    <row r="594" spans="1:7" ht="14.25" customHeight="1" x14ac:dyDescent="0.3">
      <c r="A594" s="2"/>
      <c r="B594" s="2"/>
      <c r="F594" s="5"/>
      <c r="G594" s="5"/>
    </row>
    <row r="595" spans="1:7" ht="14.25" customHeight="1" x14ac:dyDescent="0.3">
      <c r="A595" s="2"/>
      <c r="B595" s="2"/>
      <c r="F595" s="5"/>
      <c r="G595" s="5"/>
    </row>
    <row r="596" spans="1:7" ht="14.25" customHeight="1" x14ac:dyDescent="0.3">
      <c r="A596" s="2"/>
      <c r="B596" s="2"/>
      <c r="F596" s="5"/>
      <c r="G596" s="5"/>
    </row>
    <row r="597" spans="1:7" ht="14.25" customHeight="1" x14ac:dyDescent="0.3">
      <c r="A597" s="2"/>
      <c r="B597" s="2"/>
      <c r="F597" s="5"/>
      <c r="G597" s="5"/>
    </row>
    <row r="598" spans="1:7" ht="14.25" customHeight="1" x14ac:dyDescent="0.3">
      <c r="A598" s="2"/>
      <c r="B598" s="2"/>
      <c r="F598" s="5"/>
      <c r="G598" s="5"/>
    </row>
    <row r="599" spans="1:7" ht="14.25" customHeight="1" x14ac:dyDescent="0.3">
      <c r="A599" s="2"/>
      <c r="B599" s="2"/>
      <c r="F599" s="5"/>
      <c r="G599" s="5"/>
    </row>
    <row r="600" spans="1:7" ht="14.25" customHeight="1" x14ac:dyDescent="0.3">
      <c r="A600" s="2"/>
      <c r="B600" s="2"/>
      <c r="F600" s="5"/>
      <c r="G600" s="5"/>
    </row>
    <row r="601" spans="1:7" ht="14.25" customHeight="1" x14ac:dyDescent="0.3">
      <c r="A601" s="2"/>
      <c r="B601" s="2"/>
      <c r="F601" s="5"/>
      <c r="G601" s="5"/>
    </row>
    <row r="602" spans="1:7" ht="14.25" customHeight="1" x14ac:dyDescent="0.3">
      <c r="A602" s="2"/>
      <c r="B602" s="2"/>
      <c r="F602" s="5"/>
      <c r="G602" s="5"/>
    </row>
    <row r="603" spans="1:7" ht="14.25" customHeight="1" x14ac:dyDescent="0.3">
      <c r="A603" s="2"/>
      <c r="B603" s="2"/>
      <c r="F603" s="5"/>
      <c r="G603" s="5"/>
    </row>
    <row r="604" spans="1:7" ht="14.25" customHeight="1" x14ac:dyDescent="0.3">
      <c r="A604" s="2"/>
      <c r="B604" s="2"/>
      <c r="F604" s="5"/>
      <c r="G604" s="5"/>
    </row>
    <row r="605" spans="1:7" ht="14.25" customHeight="1" x14ac:dyDescent="0.3">
      <c r="A605" s="2"/>
      <c r="B605" s="2"/>
      <c r="F605" s="5"/>
      <c r="G605" s="5"/>
    </row>
    <row r="606" spans="1:7" ht="14.25" customHeight="1" x14ac:dyDescent="0.3">
      <c r="A606" s="2"/>
      <c r="B606" s="2"/>
      <c r="F606" s="5"/>
      <c r="G606" s="5"/>
    </row>
    <row r="607" spans="1:7" ht="14.25" customHeight="1" x14ac:dyDescent="0.3">
      <c r="A607" s="2"/>
      <c r="B607" s="2"/>
      <c r="F607" s="5"/>
      <c r="G607" s="5"/>
    </row>
    <row r="608" spans="1:7" ht="14.25" customHeight="1" x14ac:dyDescent="0.3">
      <c r="A608" s="2"/>
      <c r="B608" s="2"/>
      <c r="F608" s="5"/>
      <c r="G608" s="5"/>
    </row>
    <row r="609" spans="1:7" ht="14.25" customHeight="1" x14ac:dyDescent="0.3">
      <c r="A609" s="2"/>
      <c r="B609" s="2"/>
      <c r="F609" s="5"/>
      <c r="G609" s="5"/>
    </row>
    <row r="610" spans="1:7" ht="14.25" customHeight="1" x14ac:dyDescent="0.3">
      <c r="A610" s="2"/>
      <c r="B610" s="2"/>
      <c r="F610" s="5"/>
      <c r="G610" s="5"/>
    </row>
    <row r="611" spans="1:7" ht="14.25" customHeight="1" x14ac:dyDescent="0.3">
      <c r="A611" s="2"/>
      <c r="B611" s="2"/>
      <c r="F611" s="5"/>
      <c r="G611" s="5"/>
    </row>
    <row r="612" spans="1:7" ht="14.25" customHeight="1" x14ac:dyDescent="0.3">
      <c r="A612" s="2"/>
      <c r="B612" s="2"/>
      <c r="F612" s="5"/>
      <c r="G612" s="5"/>
    </row>
    <row r="613" spans="1:7" ht="14.25" customHeight="1" x14ac:dyDescent="0.3">
      <c r="A613" s="2"/>
      <c r="B613" s="2"/>
      <c r="F613" s="5"/>
      <c r="G613" s="5"/>
    </row>
    <row r="614" spans="1:7" ht="14.25" customHeight="1" x14ac:dyDescent="0.3">
      <c r="A614" s="2"/>
      <c r="B614" s="2"/>
      <c r="F614" s="5"/>
      <c r="G614" s="5"/>
    </row>
    <row r="615" spans="1:7" ht="14.25" customHeight="1" x14ac:dyDescent="0.3">
      <c r="A615" s="2"/>
      <c r="B615" s="2"/>
      <c r="F615" s="5"/>
      <c r="G615" s="5"/>
    </row>
    <row r="616" spans="1:7" ht="14.25" customHeight="1" x14ac:dyDescent="0.3">
      <c r="A616" s="2"/>
      <c r="B616" s="2"/>
      <c r="F616" s="5"/>
      <c r="G616" s="5"/>
    </row>
    <row r="617" spans="1:7" ht="14.25" customHeight="1" x14ac:dyDescent="0.3">
      <c r="A617" s="2"/>
      <c r="B617" s="2"/>
      <c r="F617" s="5"/>
      <c r="G617" s="5"/>
    </row>
    <row r="618" spans="1:7" ht="14.25" customHeight="1" x14ac:dyDescent="0.3">
      <c r="A618" s="2"/>
      <c r="B618" s="2"/>
      <c r="F618" s="5"/>
      <c r="G618" s="5"/>
    </row>
    <row r="619" spans="1:7" ht="14.25" customHeight="1" x14ac:dyDescent="0.3">
      <c r="A619" s="2"/>
      <c r="B619" s="2"/>
      <c r="F619" s="5"/>
      <c r="G619" s="5"/>
    </row>
    <row r="620" spans="1:7" ht="14.25" customHeight="1" x14ac:dyDescent="0.3">
      <c r="A620" s="2"/>
      <c r="B620" s="2"/>
      <c r="F620" s="5"/>
      <c r="G620" s="5"/>
    </row>
    <row r="621" spans="1:7" ht="14.25" customHeight="1" x14ac:dyDescent="0.3">
      <c r="A621" s="2"/>
      <c r="B621" s="2"/>
      <c r="F621" s="5"/>
      <c r="G621" s="5"/>
    </row>
    <row r="622" spans="1:7" ht="14.25" customHeight="1" x14ac:dyDescent="0.3">
      <c r="A622" s="2"/>
      <c r="B622" s="2"/>
      <c r="F622" s="5"/>
      <c r="G622" s="5"/>
    </row>
    <row r="623" spans="1:7" ht="14.25" customHeight="1" x14ac:dyDescent="0.3">
      <c r="A623" s="2"/>
      <c r="B623" s="2"/>
      <c r="F623" s="5"/>
      <c r="G623" s="5"/>
    </row>
    <row r="624" spans="1:7" ht="14.25" customHeight="1" x14ac:dyDescent="0.3">
      <c r="A624" s="2"/>
      <c r="B624" s="2"/>
      <c r="F624" s="5"/>
      <c r="G624" s="5"/>
    </row>
    <row r="625" spans="1:7" ht="14.25" customHeight="1" x14ac:dyDescent="0.3">
      <c r="A625" s="2"/>
      <c r="B625" s="2"/>
      <c r="F625" s="5"/>
      <c r="G625" s="5"/>
    </row>
    <row r="626" spans="1:7" ht="14.25" customHeight="1" x14ac:dyDescent="0.3">
      <c r="A626" s="2"/>
      <c r="B626" s="2"/>
      <c r="F626" s="5"/>
      <c r="G626" s="5"/>
    </row>
    <row r="627" spans="1:7" ht="14.25" customHeight="1" x14ac:dyDescent="0.3">
      <c r="A627" s="2"/>
      <c r="B627" s="2"/>
      <c r="F627" s="5"/>
      <c r="G627" s="5"/>
    </row>
    <row r="628" spans="1:7" ht="14.25" customHeight="1" x14ac:dyDescent="0.3">
      <c r="A628" s="2"/>
      <c r="B628" s="2"/>
      <c r="F628" s="5"/>
      <c r="G628" s="5"/>
    </row>
    <row r="629" spans="1:7" ht="14.25" customHeight="1" x14ac:dyDescent="0.3">
      <c r="A629" s="2"/>
      <c r="B629" s="2"/>
      <c r="F629" s="5"/>
      <c r="G629" s="5"/>
    </row>
    <row r="630" spans="1:7" ht="14.25" customHeight="1" x14ac:dyDescent="0.3">
      <c r="A630" s="2"/>
      <c r="B630" s="2"/>
      <c r="F630" s="5"/>
      <c r="G630" s="5"/>
    </row>
    <row r="631" spans="1:7" ht="14.25" customHeight="1" x14ac:dyDescent="0.3">
      <c r="A631" s="2"/>
      <c r="B631" s="2"/>
      <c r="F631" s="5"/>
      <c r="G631" s="5"/>
    </row>
    <row r="632" spans="1:7" ht="14.25" customHeight="1" x14ac:dyDescent="0.3">
      <c r="A632" s="2"/>
      <c r="B632" s="2"/>
      <c r="F632" s="5"/>
      <c r="G632" s="5"/>
    </row>
    <row r="633" spans="1:7" ht="14.25" customHeight="1" x14ac:dyDescent="0.3">
      <c r="A633" s="2"/>
      <c r="B633" s="2"/>
      <c r="F633" s="5"/>
      <c r="G633" s="5"/>
    </row>
    <row r="634" spans="1:7" ht="14.25" customHeight="1" x14ac:dyDescent="0.3">
      <c r="A634" s="2"/>
      <c r="B634" s="2"/>
      <c r="F634" s="5"/>
      <c r="G634" s="5"/>
    </row>
    <row r="635" spans="1:7" ht="14.25" customHeight="1" x14ac:dyDescent="0.3">
      <c r="A635" s="2"/>
      <c r="B635" s="2"/>
      <c r="F635" s="5"/>
      <c r="G635" s="5"/>
    </row>
    <row r="636" spans="1:7" ht="14.25" customHeight="1" x14ac:dyDescent="0.3">
      <c r="A636" s="2"/>
      <c r="B636" s="2"/>
      <c r="F636" s="5"/>
      <c r="G636" s="5"/>
    </row>
    <row r="637" spans="1:7" ht="14.25" customHeight="1" x14ac:dyDescent="0.3">
      <c r="A637" s="2"/>
      <c r="B637" s="2"/>
      <c r="F637" s="5"/>
      <c r="G637" s="5"/>
    </row>
    <row r="638" spans="1:7" ht="14.25" customHeight="1" x14ac:dyDescent="0.3">
      <c r="A638" s="2"/>
      <c r="B638" s="2"/>
      <c r="F638" s="5"/>
      <c r="G638" s="5"/>
    </row>
    <row r="639" spans="1:7" ht="14.25" customHeight="1" x14ac:dyDescent="0.3">
      <c r="A639" s="2"/>
      <c r="B639" s="2"/>
      <c r="F639" s="5"/>
      <c r="G639" s="5"/>
    </row>
    <row r="640" spans="1:7" ht="14.25" customHeight="1" x14ac:dyDescent="0.3">
      <c r="A640" s="2"/>
      <c r="B640" s="2"/>
      <c r="F640" s="5"/>
      <c r="G640" s="5"/>
    </row>
    <row r="641" spans="1:7" ht="14.25" customHeight="1" x14ac:dyDescent="0.3">
      <c r="A641" s="2"/>
      <c r="B641" s="2"/>
      <c r="F641" s="5"/>
      <c r="G641" s="5"/>
    </row>
    <row r="642" spans="1:7" ht="14.25" customHeight="1" x14ac:dyDescent="0.3">
      <c r="A642" s="2"/>
      <c r="B642" s="2"/>
      <c r="F642" s="5"/>
      <c r="G642" s="5"/>
    </row>
    <row r="643" spans="1:7" ht="14.25" customHeight="1" x14ac:dyDescent="0.3">
      <c r="A643" s="2"/>
      <c r="B643" s="2"/>
      <c r="F643" s="5"/>
      <c r="G643" s="5"/>
    </row>
    <row r="644" spans="1:7" ht="14.25" customHeight="1" x14ac:dyDescent="0.3">
      <c r="A644" s="2"/>
      <c r="B644" s="2"/>
      <c r="F644" s="5"/>
      <c r="G644" s="5"/>
    </row>
    <row r="645" spans="1:7" ht="14.25" customHeight="1" x14ac:dyDescent="0.3">
      <c r="A645" s="2"/>
      <c r="B645" s="2"/>
      <c r="F645" s="5"/>
      <c r="G645" s="5"/>
    </row>
    <row r="646" spans="1:7" ht="14.25" customHeight="1" x14ac:dyDescent="0.3">
      <c r="A646" s="2"/>
      <c r="B646" s="2"/>
      <c r="F646" s="5"/>
      <c r="G646" s="5"/>
    </row>
    <row r="647" spans="1:7" ht="14.25" customHeight="1" x14ac:dyDescent="0.3">
      <c r="A647" s="2"/>
      <c r="B647" s="2"/>
      <c r="F647" s="5"/>
      <c r="G647" s="5"/>
    </row>
    <row r="648" spans="1:7" ht="14.25" customHeight="1" x14ac:dyDescent="0.3">
      <c r="A648" s="2"/>
      <c r="B648" s="2"/>
      <c r="F648" s="5"/>
      <c r="G648" s="5"/>
    </row>
    <row r="649" spans="1:7" ht="14.25" customHeight="1" x14ac:dyDescent="0.3">
      <c r="A649" s="2"/>
      <c r="B649" s="2"/>
      <c r="F649" s="5"/>
      <c r="G649" s="5"/>
    </row>
    <row r="650" spans="1:7" ht="14.25" customHeight="1" x14ac:dyDescent="0.3">
      <c r="A650" s="2"/>
      <c r="B650" s="2"/>
      <c r="F650" s="5"/>
      <c r="G650" s="5"/>
    </row>
    <row r="651" spans="1:7" ht="14.25" customHeight="1" x14ac:dyDescent="0.3">
      <c r="A651" s="2"/>
      <c r="B651" s="2"/>
      <c r="F651" s="5"/>
      <c r="G651" s="5"/>
    </row>
    <row r="652" spans="1:7" ht="14.25" customHeight="1" x14ac:dyDescent="0.3">
      <c r="A652" s="2"/>
      <c r="B652" s="2"/>
      <c r="F652" s="5"/>
      <c r="G652" s="5"/>
    </row>
    <row r="653" spans="1:7" ht="14.25" customHeight="1" x14ac:dyDescent="0.3">
      <c r="A653" s="2"/>
      <c r="B653" s="2"/>
      <c r="F653" s="5"/>
      <c r="G653" s="5"/>
    </row>
    <row r="654" spans="1:7" ht="14.25" customHeight="1" x14ac:dyDescent="0.3">
      <c r="A654" s="2"/>
      <c r="B654" s="2"/>
      <c r="F654" s="5"/>
      <c r="G654" s="5"/>
    </row>
    <row r="655" spans="1:7" ht="14.25" customHeight="1" x14ac:dyDescent="0.3">
      <c r="A655" s="2"/>
      <c r="B655" s="2"/>
      <c r="F655" s="5"/>
      <c r="G655" s="5"/>
    </row>
    <row r="656" spans="1:7" ht="14.25" customHeight="1" x14ac:dyDescent="0.3">
      <c r="A656" s="2"/>
      <c r="B656" s="2"/>
      <c r="F656" s="5"/>
      <c r="G656" s="5"/>
    </row>
    <row r="657" spans="1:7" ht="14.25" customHeight="1" x14ac:dyDescent="0.3">
      <c r="A657" s="2"/>
      <c r="B657" s="2"/>
      <c r="F657" s="5"/>
      <c r="G657" s="5"/>
    </row>
    <row r="658" spans="1:7" ht="14.25" customHeight="1" x14ac:dyDescent="0.3">
      <c r="A658" s="2"/>
      <c r="B658" s="2"/>
      <c r="F658" s="5"/>
      <c r="G658" s="5"/>
    </row>
    <row r="659" spans="1:7" ht="14.25" customHeight="1" x14ac:dyDescent="0.3">
      <c r="A659" s="2"/>
      <c r="B659" s="2"/>
      <c r="F659" s="5"/>
      <c r="G659" s="5"/>
    </row>
    <row r="660" spans="1:7" ht="14.25" customHeight="1" x14ac:dyDescent="0.3">
      <c r="A660" s="2"/>
      <c r="B660" s="2"/>
      <c r="F660" s="5"/>
      <c r="G660" s="5"/>
    </row>
    <row r="661" spans="1:7" ht="14.25" customHeight="1" x14ac:dyDescent="0.3">
      <c r="A661" s="2"/>
      <c r="B661" s="2"/>
      <c r="F661" s="5"/>
      <c r="G661" s="5"/>
    </row>
    <row r="662" spans="1:7" ht="14.25" customHeight="1" x14ac:dyDescent="0.3">
      <c r="A662" s="2"/>
      <c r="B662" s="2"/>
      <c r="F662" s="5"/>
      <c r="G662" s="5"/>
    </row>
    <row r="663" spans="1:7" ht="14.25" customHeight="1" x14ac:dyDescent="0.3">
      <c r="A663" s="2"/>
      <c r="B663" s="2"/>
      <c r="F663" s="5"/>
      <c r="G663" s="5"/>
    </row>
    <row r="664" spans="1:7" ht="14.25" customHeight="1" x14ac:dyDescent="0.3">
      <c r="A664" s="2"/>
      <c r="B664" s="2"/>
      <c r="F664" s="5"/>
      <c r="G664" s="5"/>
    </row>
    <row r="665" spans="1:7" ht="14.25" customHeight="1" x14ac:dyDescent="0.3">
      <c r="A665" s="2"/>
      <c r="B665" s="2"/>
      <c r="F665" s="5"/>
      <c r="G665" s="5"/>
    </row>
    <row r="666" spans="1:7" ht="14.25" customHeight="1" x14ac:dyDescent="0.3">
      <c r="A666" s="2"/>
      <c r="B666" s="2"/>
      <c r="F666" s="5"/>
      <c r="G666" s="5"/>
    </row>
    <row r="667" spans="1:7" ht="14.25" customHeight="1" x14ac:dyDescent="0.3">
      <c r="A667" s="2"/>
      <c r="B667" s="2"/>
      <c r="F667" s="5"/>
      <c r="G667" s="5"/>
    </row>
    <row r="668" spans="1:7" ht="14.25" customHeight="1" x14ac:dyDescent="0.3">
      <c r="A668" s="2"/>
      <c r="B668" s="2"/>
      <c r="F668" s="5"/>
      <c r="G668" s="5"/>
    </row>
    <row r="669" spans="1:7" ht="14.25" customHeight="1" x14ac:dyDescent="0.3">
      <c r="A669" s="2"/>
      <c r="B669" s="2"/>
      <c r="F669" s="5"/>
      <c r="G669" s="5"/>
    </row>
    <row r="670" spans="1:7" ht="14.25" customHeight="1" x14ac:dyDescent="0.3">
      <c r="A670" s="2"/>
      <c r="B670" s="2"/>
      <c r="F670" s="5"/>
      <c r="G670" s="5"/>
    </row>
    <row r="671" spans="1:7" ht="14.25" customHeight="1" x14ac:dyDescent="0.3">
      <c r="A671" s="2"/>
      <c r="B671" s="2"/>
      <c r="F671" s="5"/>
      <c r="G671" s="5"/>
    </row>
    <row r="672" spans="1:7" ht="14.25" customHeight="1" x14ac:dyDescent="0.3">
      <c r="A672" s="2"/>
      <c r="B672" s="2"/>
      <c r="F672" s="5"/>
      <c r="G672" s="5"/>
    </row>
    <row r="673" spans="1:7" ht="14.25" customHeight="1" x14ac:dyDescent="0.3">
      <c r="A673" s="2"/>
      <c r="B673" s="2"/>
      <c r="F673" s="5"/>
      <c r="G673" s="5"/>
    </row>
    <row r="674" spans="1:7" ht="14.25" customHeight="1" x14ac:dyDescent="0.3">
      <c r="A674" s="2"/>
      <c r="B674" s="2"/>
      <c r="F674" s="5"/>
      <c r="G674" s="5"/>
    </row>
    <row r="675" spans="1:7" ht="14.25" customHeight="1" x14ac:dyDescent="0.3">
      <c r="A675" s="2"/>
      <c r="B675" s="2"/>
      <c r="F675" s="5"/>
      <c r="G675" s="5"/>
    </row>
    <row r="676" spans="1:7" ht="14.25" customHeight="1" x14ac:dyDescent="0.3">
      <c r="A676" s="2"/>
      <c r="B676" s="2"/>
      <c r="F676" s="5"/>
      <c r="G676" s="5"/>
    </row>
    <row r="677" spans="1:7" ht="14.25" customHeight="1" x14ac:dyDescent="0.3">
      <c r="A677" s="2"/>
      <c r="B677" s="2"/>
      <c r="F677" s="5"/>
      <c r="G677" s="5"/>
    </row>
    <row r="678" spans="1:7" ht="14.25" customHeight="1" x14ac:dyDescent="0.3">
      <c r="A678" s="2"/>
      <c r="B678" s="2"/>
      <c r="F678" s="5"/>
      <c r="G678" s="5"/>
    </row>
    <row r="679" spans="1:7" ht="14.25" customHeight="1" x14ac:dyDescent="0.3">
      <c r="A679" s="2"/>
      <c r="B679" s="2"/>
      <c r="F679" s="5"/>
      <c r="G679" s="5"/>
    </row>
    <row r="680" spans="1:7" ht="14.25" customHeight="1" x14ac:dyDescent="0.3">
      <c r="A680" s="2"/>
      <c r="B680" s="2"/>
      <c r="F680" s="5"/>
      <c r="G680" s="5"/>
    </row>
    <row r="681" spans="1:7" ht="14.25" customHeight="1" x14ac:dyDescent="0.3">
      <c r="A681" s="2"/>
      <c r="B681" s="2"/>
      <c r="F681" s="5"/>
      <c r="G681" s="5"/>
    </row>
    <row r="682" spans="1:7" ht="14.25" customHeight="1" x14ac:dyDescent="0.3">
      <c r="A682" s="2"/>
      <c r="B682" s="2"/>
      <c r="F682" s="5"/>
      <c r="G682" s="5"/>
    </row>
    <row r="683" spans="1:7" ht="14.25" customHeight="1" x14ac:dyDescent="0.3">
      <c r="A683" s="2"/>
      <c r="B683" s="2"/>
      <c r="F683" s="5"/>
      <c r="G683" s="5"/>
    </row>
    <row r="684" spans="1:7" ht="14.25" customHeight="1" x14ac:dyDescent="0.3">
      <c r="A684" s="2"/>
      <c r="B684" s="2"/>
      <c r="F684" s="5"/>
      <c r="G684" s="5"/>
    </row>
    <row r="685" spans="1:7" ht="14.25" customHeight="1" x14ac:dyDescent="0.3">
      <c r="A685" s="2"/>
      <c r="B685" s="2"/>
      <c r="F685" s="5"/>
      <c r="G685" s="5"/>
    </row>
    <row r="686" spans="1:7" ht="14.25" customHeight="1" x14ac:dyDescent="0.3">
      <c r="A686" s="2"/>
      <c r="B686" s="2"/>
      <c r="F686" s="5"/>
      <c r="G686" s="5"/>
    </row>
    <row r="687" spans="1:7" ht="14.25" customHeight="1" x14ac:dyDescent="0.3">
      <c r="A687" s="2"/>
      <c r="B687" s="2"/>
      <c r="F687" s="5"/>
      <c r="G687" s="5"/>
    </row>
    <row r="688" spans="1:7" ht="14.25" customHeight="1" x14ac:dyDescent="0.3">
      <c r="A688" s="2"/>
      <c r="B688" s="2"/>
      <c r="F688" s="5"/>
      <c r="G688" s="5"/>
    </row>
    <row r="689" spans="1:7" ht="14.25" customHeight="1" x14ac:dyDescent="0.3">
      <c r="A689" s="2"/>
      <c r="B689" s="2"/>
      <c r="F689" s="5"/>
      <c r="G689" s="5"/>
    </row>
    <row r="690" spans="1:7" ht="14.25" customHeight="1" x14ac:dyDescent="0.3">
      <c r="A690" s="2"/>
      <c r="B690" s="2"/>
      <c r="F690" s="5"/>
      <c r="G690" s="5"/>
    </row>
    <row r="691" spans="1:7" ht="14.25" customHeight="1" x14ac:dyDescent="0.3">
      <c r="A691" s="2"/>
      <c r="B691" s="2"/>
      <c r="F691" s="5"/>
      <c r="G691" s="5"/>
    </row>
    <row r="692" spans="1:7" ht="14.25" customHeight="1" x14ac:dyDescent="0.3">
      <c r="A692" s="2"/>
      <c r="B692" s="2"/>
      <c r="F692" s="5"/>
      <c r="G692" s="5"/>
    </row>
    <row r="693" spans="1:7" ht="14.25" customHeight="1" x14ac:dyDescent="0.3">
      <c r="A693" s="2"/>
      <c r="B693" s="2"/>
      <c r="F693" s="5"/>
      <c r="G693" s="5"/>
    </row>
    <row r="694" spans="1:7" ht="14.25" customHeight="1" x14ac:dyDescent="0.3">
      <c r="A694" s="2"/>
      <c r="B694" s="2"/>
      <c r="F694" s="5"/>
      <c r="G694" s="5"/>
    </row>
    <row r="695" spans="1:7" ht="14.25" customHeight="1" x14ac:dyDescent="0.3">
      <c r="A695" s="2"/>
      <c r="B695" s="2"/>
      <c r="F695" s="5"/>
      <c r="G695" s="5"/>
    </row>
    <row r="696" spans="1:7" ht="14.25" customHeight="1" x14ac:dyDescent="0.3">
      <c r="A696" s="2"/>
      <c r="B696" s="2"/>
      <c r="F696" s="5"/>
      <c r="G696" s="5"/>
    </row>
    <row r="697" spans="1:7" ht="14.25" customHeight="1" x14ac:dyDescent="0.3">
      <c r="A697" s="2"/>
      <c r="B697" s="2"/>
      <c r="F697" s="5"/>
      <c r="G697" s="5"/>
    </row>
    <row r="698" spans="1:7" ht="14.25" customHeight="1" x14ac:dyDescent="0.3">
      <c r="A698" s="2"/>
      <c r="B698" s="2"/>
      <c r="F698" s="5"/>
      <c r="G698" s="5"/>
    </row>
    <row r="699" spans="1:7" ht="14.25" customHeight="1" x14ac:dyDescent="0.3">
      <c r="A699" s="2"/>
      <c r="B699" s="2"/>
      <c r="F699" s="5"/>
      <c r="G699" s="5"/>
    </row>
    <row r="700" spans="1:7" ht="14.25" customHeight="1" x14ac:dyDescent="0.3">
      <c r="A700" s="2"/>
      <c r="B700" s="2"/>
      <c r="F700" s="5"/>
      <c r="G700" s="5"/>
    </row>
    <row r="701" spans="1:7" ht="14.25" customHeight="1" x14ac:dyDescent="0.3">
      <c r="A701" s="2"/>
      <c r="B701" s="2"/>
      <c r="F701" s="5"/>
      <c r="G701" s="5"/>
    </row>
    <row r="702" spans="1:7" ht="14.25" customHeight="1" x14ac:dyDescent="0.3">
      <c r="A702" s="2"/>
      <c r="B702" s="2"/>
      <c r="F702" s="5"/>
      <c r="G702" s="5"/>
    </row>
    <row r="703" spans="1:7" ht="14.25" customHeight="1" x14ac:dyDescent="0.3">
      <c r="A703" s="2"/>
      <c r="B703" s="2"/>
      <c r="F703" s="5"/>
      <c r="G703" s="5"/>
    </row>
    <row r="704" spans="1:7" ht="14.25" customHeight="1" x14ac:dyDescent="0.3">
      <c r="A704" s="2"/>
      <c r="B704" s="2"/>
      <c r="F704" s="5"/>
      <c r="G704" s="5"/>
    </row>
    <row r="705" spans="1:7" ht="14.25" customHeight="1" x14ac:dyDescent="0.3">
      <c r="A705" s="2"/>
      <c r="B705" s="2"/>
      <c r="F705" s="5"/>
      <c r="G705" s="5"/>
    </row>
    <row r="706" spans="1:7" ht="14.25" customHeight="1" x14ac:dyDescent="0.3">
      <c r="A706" s="2"/>
      <c r="B706" s="2"/>
      <c r="F706" s="5"/>
      <c r="G706" s="5"/>
    </row>
    <row r="707" spans="1:7" ht="14.25" customHeight="1" x14ac:dyDescent="0.3">
      <c r="A707" s="2"/>
      <c r="B707" s="2"/>
      <c r="F707" s="5"/>
      <c r="G707" s="5"/>
    </row>
    <row r="708" spans="1:7" ht="14.25" customHeight="1" x14ac:dyDescent="0.3">
      <c r="A708" s="2"/>
      <c r="B708" s="2"/>
      <c r="F708" s="5"/>
      <c r="G708" s="5"/>
    </row>
    <row r="709" spans="1:7" ht="14.25" customHeight="1" x14ac:dyDescent="0.3">
      <c r="A709" s="2"/>
      <c r="B709" s="2"/>
      <c r="F709" s="5"/>
      <c r="G709" s="5"/>
    </row>
    <row r="710" spans="1:7" ht="14.25" customHeight="1" x14ac:dyDescent="0.3">
      <c r="A710" s="2"/>
      <c r="B710" s="2"/>
      <c r="F710" s="5"/>
      <c r="G710" s="5"/>
    </row>
    <row r="711" spans="1:7" ht="14.25" customHeight="1" x14ac:dyDescent="0.3">
      <c r="A711" s="2"/>
      <c r="B711" s="2"/>
      <c r="F711" s="5"/>
      <c r="G711" s="5"/>
    </row>
    <row r="712" spans="1:7" ht="14.25" customHeight="1" x14ac:dyDescent="0.3">
      <c r="A712" s="2"/>
      <c r="B712" s="2"/>
      <c r="F712" s="5"/>
      <c r="G712" s="5"/>
    </row>
    <row r="713" spans="1:7" ht="14.25" customHeight="1" x14ac:dyDescent="0.3">
      <c r="A713" s="2"/>
      <c r="B713" s="2"/>
      <c r="F713" s="5"/>
      <c r="G713" s="5"/>
    </row>
    <row r="714" spans="1:7" ht="14.25" customHeight="1" x14ac:dyDescent="0.3">
      <c r="A714" s="2"/>
      <c r="B714" s="2"/>
      <c r="F714" s="5"/>
      <c r="G714" s="5"/>
    </row>
    <row r="715" spans="1:7" ht="14.25" customHeight="1" x14ac:dyDescent="0.3">
      <c r="A715" s="2"/>
      <c r="B715" s="2"/>
      <c r="F715" s="5"/>
      <c r="G715" s="5"/>
    </row>
    <row r="716" spans="1:7" ht="14.25" customHeight="1" x14ac:dyDescent="0.3">
      <c r="A716" s="2"/>
      <c r="B716" s="2"/>
      <c r="F716" s="5"/>
      <c r="G716" s="5"/>
    </row>
    <row r="717" spans="1:7" ht="14.25" customHeight="1" x14ac:dyDescent="0.3">
      <c r="A717" s="2"/>
      <c r="B717" s="2"/>
      <c r="F717" s="5"/>
      <c r="G717" s="5"/>
    </row>
    <row r="718" spans="1:7" ht="14.25" customHeight="1" x14ac:dyDescent="0.3">
      <c r="A718" s="2"/>
      <c r="B718" s="2"/>
      <c r="F718" s="5"/>
      <c r="G718" s="5"/>
    </row>
    <row r="719" spans="1:7" ht="14.25" customHeight="1" x14ac:dyDescent="0.3">
      <c r="A719" s="2"/>
      <c r="B719" s="2"/>
      <c r="F719" s="5"/>
      <c r="G719" s="5"/>
    </row>
    <row r="720" spans="1:7" ht="14.25" customHeight="1" x14ac:dyDescent="0.3">
      <c r="A720" s="2"/>
      <c r="B720" s="2"/>
      <c r="F720" s="5"/>
      <c r="G720" s="5"/>
    </row>
    <row r="721" spans="1:7" ht="14.25" customHeight="1" x14ac:dyDescent="0.3">
      <c r="A721" s="2"/>
      <c r="B721" s="2"/>
      <c r="F721" s="5"/>
      <c r="G721" s="5"/>
    </row>
    <row r="722" spans="1:7" ht="14.25" customHeight="1" x14ac:dyDescent="0.3">
      <c r="A722" s="2"/>
      <c r="B722" s="2"/>
      <c r="F722" s="5"/>
      <c r="G722" s="5"/>
    </row>
    <row r="723" spans="1:7" ht="14.25" customHeight="1" x14ac:dyDescent="0.3">
      <c r="A723" s="2"/>
      <c r="B723" s="2"/>
      <c r="F723" s="5"/>
      <c r="G723" s="5"/>
    </row>
    <row r="724" spans="1:7" ht="14.25" customHeight="1" x14ac:dyDescent="0.3">
      <c r="A724" s="2"/>
      <c r="B724" s="2"/>
      <c r="F724" s="5"/>
      <c r="G724" s="5"/>
    </row>
    <row r="725" spans="1:7" ht="14.25" customHeight="1" x14ac:dyDescent="0.3">
      <c r="A725" s="2"/>
      <c r="B725" s="2"/>
      <c r="F725" s="5"/>
      <c r="G725" s="5"/>
    </row>
    <row r="726" spans="1:7" ht="14.25" customHeight="1" x14ac:dyDescent="0.3">
      <c r="A726" s="2"/>
      <c r="B726" s="2"/>
      <c r="F726" s="5"/>
      <c r="G726" s="5"/>
    </row>
    <row r="727" spans="1:7" ht="14.25" customHeight="1" x14ac:dyDescent="0.3">
      <c r="A727" s="2"/>
      <c r="B727" s="2"/>
      <c r="F727" s="5"/>
      <c r="G727" s="5"/>
    </row>
    <row r="728" spans="1:7" ht="14.25" customHeight="1" x14ac:dyDescent="0.3">
      <c r="A728" s="2"/>
      <c r="B728" s="2"/>
      <c r="F728" s="5"/>
      <c r="G728" s="5"/>
    </row>
    <row r="729" spans="1:7" ht="14.25" customHeight="1" x14ac:dyDescent="0.3">
      <c r="A729" s="2"/>
      <c r="B729" s="2"/>
      <c r="F729" s="5"/>
      <c r="G729" s="5"/>
    </row>
    <row r="730" spans="1:7" ht="14.25" customHeight="1" x14ac:dyDescent="0.3">
      <c r="A730" s="2"/>
      <c r="B730" s="2"/>
      <c r="F730" s="5"/>
      <c r="G730" s="5"/>
    </row>
    <row r="731" spans="1:7" ht="14.25" customHeight="1" x14ac:dyDescent="0.3">
      <c r="A731" s="2"/>
      <c r="B731" s="2"/>
      <c r="F731" s="5"/>
      <c r="G731" s="5"/>
    </row>
    <row r="732" spans="1:7" ht="14.25" customHeight="1" x14ac:dyDescent="0.3">
      <c r="A732" s="2"/>
      <c r="B732" s="2"/>
      <c r="F732" s="5"/>
      <c r="G732" s="5"/>
    </row>
    <row r="733" spans="1:7" ht="14.25" customHeight="1" x14ac:dyDescent="0.3">
      <c r="A733" s="2"/>
      <c r="B733" s="2"/>
      <c r="F733" s="5"/>
      <c r="G733" s="5"/>
    </row>
    <row r="734" spans="1:7" ht="14.25" customHeight="1" x14ac:dyDescent="0.3">
      <c r="A734" s="2"/>
      <c r="B734" s="2"/>
      <c r="F734" s="5"/>
      <c r="G734" s="5"/>
    </row>
    <row r="735" spans="1:7" ht="14.25" customHeight="1" x14ac:dyDescent="0.3">
      <c r="A735" s="2"/>
      <c r="B735" s="2"/>
      <c r="F735" s="5"/>
      <c r="G735" s="5"/>
    </row>
    <row r="736" spans="1:7" ht="14.25" customHeight="1" x14ac:dyDescent="0.3">
      <c r="A736" s="2"/>
      <c r="B736" s="2"/>
      <c r="F736" s="5"/>
      <c r="G736" s="5"/>
    </row>
    <row r="737" spans="1:7" ht="14.25" customHeight="1" x14ac:dyDescent="0.3">
      <c r="A737" s="2"/>
      <c r="B737" s="2"/>
      <c r="F737" s="5"/>
      <c r="G737" s="5"/>
    </row>
    <row r="738" spans="1:7" ht="14.25" customHeight="1" x14ac:dyDescent="0.3">
      <c r="A738" s="2"/>
      <c r="B738" s="2"/>
      <c r="F738" s="5"/>
      <c r="G738" s="5"/>
    </row>
    <row r="739" spans="1:7" ht="14.25" customHeight="1" x14ac:dyDescent="0.3">
      <c r="A739" s="2"/>
      <c r="B739" s="2"/>
      <c r="F739" s="5"/>
      <c r="G739" s="5"/>
    </row>
    <row r="740" spans="1:7" ht="14.25" customHeight="1" x14ac:dyDescent="0.3">
      <c r="A740" s="2"/>
      <c r="B740" s="2"/>
      <c r="F740" s="5"/>
      <c r="G740" s="5"/>
    </row>
    <row r="741" spans="1:7" ht="14.25" customHeight="1" x14ac:dyDescent="0.3">
      <c r="A741" s="2"/>
      <c r="B741" s="2"/>
      <c r="F741" s="5"/>
      <c r="G741" s="5"/>
    </row>
    <row r="742" spans="1:7" ht="14.25" customHeight="1" x14ac:dyDescent="0.3">
      <c r="A742" s="2"/>
      <c r="B742" s="2"/>
      <c r="F742" s="5"/>
      <c r="G742" s="5"/>
    </row>
    <row r="743" spans="1:7" ht="14.25" customHeight="1" x14ac:dyDescent="0.3">
      <c r="A743" s="2"/>
      <c r="B743" s="2"/>
      <c r="F743" s="5"/>
      <c r="G743" s="5"/>
    </row>
    <row r="744" spans="1:7" ht="14.25" customHeight="1" x14ac:dyDescent="0.3">
      <c r="A744" s="2"/>
      <c r="B744" s="2"/>
      <c r="F744" s="5"/>
      <c r="G744" s="5"/>
    </row>
    <row r="745" spans="1:7" ht="14.25" customHeight="1" x14ac:dyDescent="0.3">
      <c r="A745" s="2"/>
      <c r="B745" s="2"/>
      <c r="F745" s="5"/>
      <c r="G745" s="5"/>
    </row>
    <row r="746" spans="1:7" ht="14.25" customHeight="1" x14ac:dyDescent="0.3">
      <c r="A746" s="2"/>
      <c r="B746" s="2"/>
      <c r="F746" s="5"/>
      <c r="G746" s="5"/>
    </row>
    <row r="747" spans="1:7" ht="14.25" customHeight="1" x14ac:dyDescent="0.3">
      <c r="A747" s="2"/>
      <c r="B747" s="2"/>
      <c r="F747" s="5"/>
      <c r="G747" s="5"/>
    </row>
    <row r="748" spans="1:7" ht="14.25" customHeight="1" x14ac:dyDescent="0.3">
      <c r="A748" s="2"/>
      <c r="B748" s="2"/>
      <c r="F748" s="5"/>
      <c r="G748" s="5"/>
    </row>
    <row r="749" spans="1:7" ht="14.25" customHeight="1" x14ac:dyDescent="0.3">
      <c r="A749" s="2"/>
      <c r="B749" s="2"/>
      <c r="F749" s="5"/>
      <c r="G749" s="5"/>
    </row>
    <row r="750" spans="1:7" ht="14.25" customHeight="1" x14ac:dyDescent="0.3">
      <c r="A750" s="2"/>
      <c r="B750" s="2"/>
      <c r="F750" s="5"/>
      <c r="G750" s="5"/>
    </row>
    <row r="751" spans="1:7" ht="14.25" customHeight="1" x14ac:dyDescent="0.3">
      <c r="A751" s="2"/>
      <c r="B751" s="2"/>
      <c r="F751" s="5"/>
      <c r="G751" s="5"/>
    </row>
    <row r="752" spans="1:7" ht="14.25" customHeight="1" x14ac:dyDescent="0.3">
      <c r="A752" s="2"/>
      <c r="B752" s="2"/>
      <c r="F752" s="5"/>
      <c r="G752" s="5"/>
    </row>
    <row r="753" spans="1:7" ht="14.25" customHeight="1" x14ac:dyDescent="0.3">
      <c r="A753" s="2"/>
      <c r="B753" s="2"/>
      <c r="F753" s="5"/>
      <c r="G753" s="5"/>
    </row>
    <row r="754" spans="1:7" ht="14.25" customHeight="1" x14ac:dyDescent="0.3">
      <c r="A754" s="2"/>
      <c r="B754" s="2"/>
      <c r="F754" s="5"/>
      <c r="G754" s="5"/>
    </row>
    <row r="755" spans="1:7" ht="14.25" customHeight="1" x14ac:dyDescent="0.3">
      <c r="A755" s="2"/>
      <c r="B755" s="2"/>
      <c r="F755" s="5"/>
      <c r="G755" s="5"/>
    </row>
    <row r="756" spans="1:7" ht="14.25" customHeight="1" x14ac:dyDescent="0.3">
      <c r="A756" s="2"/>
      <c r="B756" s="2"/>
      <c r="F756" s="5"/>
      <c r="G756" s="5"/>
    </row>
    <row r="757" spans="1:7" ht="14.25" customHeight="1" x14ac:dyDescent="0.3">
      <c r="A757" s="2"/>
      <c r="B757" s="2"/>
      <c r="F757" s="5"/>
      <c r="G757" s="5"/>
    </row>
    <row r="758" spans="1:7" ht="14.25" customHeight="1" x14ac:dyDescent="0.3">
      <c r="A758" s="2"/>
      <c r="B758" s="2"/>
      <c r="F758" s="5"/>
      <c r="G758" s="5"/>
    </row>
    <row r="759" spans="1:7" ht="14.25" customHeight="1" x14ac:dyDescent="0.3">
      <c r="A759" s="2"/>
      <c r="B759" s="2"/>
      <c r="F759" s="5"/>
      <c r="G759" s="5"/>
    </row>
    <row r="760" spans="1:7" ht="14.25" customHeight="1" x14ac:dyDescent="0.3">
      <c r="A760" s="2"/>
      <c r="B760" s="2"/>
      <c r="F760" s="5"/>
      <c r="G760" s="5"/>
    </row>
    <row r="761" spans="1:7" ht="14.25" customHeight="1" x14ac:dyDescent="0.3">
      <c r="A761" s="2"/>
      <c r="B761" s="2"/>
      <c r="F761" s="5"/>
      <c r="G761" s="5"/>
    </row>
    <row r="762" spans="1:7" ht="14.25" customHeight="1" x14ac:dyDescent="0.3">
      <c r="A762" s="2"/>
      <c r="B762" s="2"/>
      <c r="F762" s="5"/>
      <c r="G762" s="5"/>
    </row>
    <row r="763" spans="1:7" ht="14.25" customHeight="1" x14ac:dyDescent="0.3">
      <c r="A763" s="2"/>
      <c r="B763" s="2"/>
      <c r="F763" s="5"/>
      <c r="G763" s="5"/>
    </row>
    <row r="764" spans="1:7" ht="14.25" customHeight="1" x14ac:dyDescent="0.3">
      <c r="A764" s="2"/>
      <c r="B764" s="2"/>
      <c r="F764" s="5"/>
      <c r="G764" s="5"/>
    </row>
    <row r="765" spans="1:7" ht="14.25" customHeight="1" x14ac:dyDescent="0.3">
      <c r="A765" s="2"/>
      <c r="B765" s="2"/>
      <c r="F765" s="5"/>
      <c r="G765" s="5"/>
    </row>
    <row r="766" spans="1:7" ht="14.25" customHeight="1" x14ac:dyDescent="0.3">
      <c r="A766" s="2"/>
      <c r="B766" s="2"/>
      <c r="F766" s="5"/>
      <c r="G766" s="5"/>
    </row>
    <row r="767" spans="1:7" ht="14.25" customHeight="1" x14ac:dyDescent="0.3">
      <c r="A767" s="2"/>
      <c r="B767" s="2"/>
      <c r="F767" s="5"/>
      <c r="G767" s="5"/>
    </row>
    <row r="768" spans="1:7" ht="14.25" customHeight="1" x14ac:dyDescent="0.3">
      <c r="A768" s="2"/>
      <c r="B768" s="2"/>
      <c r="F768" s="5"/>
      <c r="G768" s="5"/>
    </row>
    <row r="769" spans="1:7" ht="14.25" customHeight="1" x14ac:dyDescent="0.3">
      <c r="A769" s="2"/>
      <c r="B769" s="2"/>
      <c r="F769" s="5"/>
      <c r="G769" s="5"/>
    </row>
    <row r="770" spans="1:7" ht="14.25" customHeight="1" x14ac:dyDescent="0.3">
      <c r="A770" s="2"/>
      <c r="B770" s="2"/>
      <c r="F770" s="5"/>
      <c r="G770" s="5"/>
    </row>
    <row r="771" spans="1:7" ht="14.25" customHeight="1" x14ac:dyDescent="0.3">
      <c r="A771" s="2"/>
      <c r="B771" s="2"/>
      <c r="F771" s="5"/>
      <c r="G771" s="5"/>
    </row>
    <row r="772" spans="1:7" ht="14.25" customHeight="1" x14ac:dyDescent="0.3">
      <c r="A772" s="2"/>
      <c r="B772" s="2"/>
      <c r="F772" s="5"/>
      <c r="G772" s="5"/>
    </row>
    <row r="773" spans="1:7" ht="14.25" customHeight="1" x14ac:dyDescent="0.3">
      <c r="A773" s="2"/>
      <c r="B773" s="2"/>
      <c r="F773" s="5"/>
      <c r="G773" s="5"/>
    </row>
    <row r="774" spans="1:7" ht="14.25" customHeight="1" x14ac:dyDescent="0.3">
      <c r="A774" s="2"/>
      <c r="B774" s="2"/>
      <c r="F774" s="5"/>
      <c r="G774" s="5"/>
    </row>
    <row r="775" spans="1:7" ht="14.25" customHeight="1" x14ac:dyDescent="0.3">
      <c r="A775" s="2"/>
      <c r="B775" s="2"/>
      <c r="F775" s="5"/>
      <c r="G775" s="5"/>
    </row>
    <row r="776" spans="1:7" ht="14.25" customHeight="1" x14ac:dyDescent="0.3">
      <c r="A776" s="2"/>
      <c r="B776" s="2"/>
      <c r="F776" s="5"/>
      <c r="G776" s="5"/>
    </row>
    <row r="777" spans="1:7" ht="14.25" customHeight="1" x14ac:dyDescent="0.3">
      <c r="A777" s="2"/>
      <c r="B777" s="2"/>
      <c r="F777" s="5"/>
      <c r="G777" s="5"/>
    </row>
    <row r="778" spans="1:7" ht="14.25" customHeight="1" x14ac:dyDescent="0.3">
      <c r="A778" s="2"/>
      <c r="B778" s="2"/>
      <c r="F778" s="5"/>
      <c r="G778" s="5"/>
    </row>
    <row r="779" spans="1:7" ht="14.25" customHeight="1" x14ac:dyDescent="0.3">
      <c r="A779" s="2"/>
      <c r="B779" s="2"/>
      <c r="F779" s="5"/>
      <c r="G779" s="5"/>
    </row>
    <row r="780" spans="1:7" ht="14.25" customHeight="1" x14ac:dyDescent="0.3">
      <c r="A780" s="2"/>
      <c r="B780" s="2"/>
      <c r="F780" s="5"/>
      <c r="G780" s="5"/>
    </row>
    <row r="781" spans="1:7" ht="14.25" customHeight="1" x14ac:dyDescent="0.3">
      <c r="A781" s="2"/>
      <c r="B781" s="2"/>
      <c r="F781" s="5"/>
      <c r="G781" s="5"/>
    </row>
    <row r="782" spans="1:7" ht="14.25" customHeight="1" x14ac:dyDescent="0.3">
      <c r="A782" s="2"/>
      <c r="B782" s="2"/>
      <c r="F782" s="5"/>
      <c r="G782" s="5"/>
    </row>
    <row r="783" spans="1:7" ht="14.25" customHeight="1" x14ac:dyDescent="0.3">
      <c r="A783" s="2"/>
      <c r="B783" s="2"/>
      <c r="F783" s="5"/>
      <c r="G783" s="5"/>
    </row>
    <row r="784" spans="1:7" ht="14.25" customHeight="1" x14ac:dyDescent="0.3">
      <c r="A784" s="2"/>
      <c r="B784" s="2"/>
      <c r="F784" s="5"/>
      <c r="G784" s="5"/>
    </row>
    <row r="785" spans="1:7" ht="14.25" customHeight="1" x14ac:dyDescent="0.3">
      <c r="A785" s="2"/>
      <c r="B785" s="2"/>
      <c r="F785" s="5"/>
      <c r="G785" s="5"/>
    </row>
    <row r="786" spans="1:7" ht="14.25" customHeight="1" x14ac:dyDescent="0.3">
      <c r="A786" s="2"/>
      <c r="B786" s="2"/>
      <c r="F786" s="5"/>
      <c r="G786" s="5"/>
    </row>
    <row r="787" spans="1:7" ht="14.25" customHeight="1" x14ac:dyDescent="0.3">
      <c r="A787" s="2"/>
      <c r="B787" s="2"/>
      <c r="F787" s="5"/>
      <c r="G787" s="5"/>
    </row>
    <row r="788" spans="1:7" ht="14.25" customHeight="1" x14ac:dyDescent="0.3">
      <c r="A788" s="2"/>
      <c r="B788" s="2"/>
      <c r="F788" s="5"/>
      <c r="G788" s="5"/>
    </row>
    <row r="789" spans="1:7" ht="14.25" customHeight="1" x14ac:dyDescent="0.3">
      <c r="A789" s="2"/>
      <c r="B789" s="2"/>
      <c r="F789" s="5"/>
      <c r="G789" s="5"/>
    </row>
    <row r="790" spans="1:7" ht="14.25" customHeight="1" x14ac:dyDescent="0.3">
      <c r="A790" s="2"/>
      <c r="B790" s="2"/>
      <c r="F790" s="5"/>
      <c r="G790" s="5"/>
    </row>
    <row r="791" spans="1:7" ht="14.25" customHeight="1" x14ac:dyDescent="0.3">
      <c r="A791" s="2"/>
      <c r="B791" s="2"/>
      <c r="F791" s="5"/>
      <c r="G791" s="5"/>
    </row>
    <row r="792" spans="1:7" ht="14.25" customHeight="1" x14ac:dyDescent="0.3">
      <c r="A792" s="2"/>
      <c r="B792" s="2"/>
      <c r="F792" s="5"/>
      <c r="G792" s="5"/>
    </row>
    <row r="793" spans="1:7" ht="14.25" customHeight="1" x14ac:dyDescent="0.3">
      <c r="A793" s="2"/>
      <c r="B793" s="2"/>
      <c r="F793" s="5"/>
      <c r="G793" s="5"/>
    </row>
    <row r="794" spans="1:7" ht="14.25" customHeight="1" x14ac:dyDescent="0.3">
      <c r="A794" s="2"/>
      <c r="B794" s="2"/>
      <c r="F794" s="5"/>
      <c r="G794" s="5"/>
    </row>
    <row r="795" spans="1:7" ht="14.25" customHeight="1" x14ac:dyDescent="0.3">
      <c r="A795" s="2"/>
      <c r="B795" s="2"/>
      <c r="F795" s="5"/>
      <c r="G795" s="5"/>
    </row>
    <row r="796" spans="1:7" ht="14.25" customHeight="1" x14ac:dyDescent="0.3">
      <c r="A796" s="2"/>
      <c r="B796" s="2"/>
      <c r="F796" s="5"/>
      <c r="G796" s="5"/>
    </row>
    <row r="797" spans="1:7" ht="14.25" customHeight="1" x14ac:dyDescent="0.3">
      <c r="A797" s="2"/>
      <c r="B797" s="2"/>
      <c r="F797" s="5"/>
      <c r="G797" s="5"/>
    </row>
    <row r="798" spans="1:7" ht="14.25" customHeight="1" x14ac:dyDescent="0.3">
      <c r="A798" s="2"/>
      <c r="B798" s="2"/>
      <c r="F798" s="5"/>
      <c r="G798" s="5"/>
    </row>
    <row r="799" spans="1:7" ht="14.25" customHeight="1" x14ac:dyDescent="0.3">
      <c r="A799" s="2"/>
      <c r="B799" s="2"/>
      <c r="F799" s="5"/>
      <c r="G799" s="5"/>
    </row>
    <row r="800" spans="1:7" ht="14.25" customHeight="1" x14ac:dyDescent="0.3">
      <c r="A800" s="2"/>
      <c r="B800" s="2"/>
      <c r="F800" s="5"/>
      <c r="G800" s="5"/>
    </row>
    <row r="801" spans="1:7" ht="14.25" customHeight="1" x14ac:dyDescent="0.3">
      <c r="A801" s="2"/>
      <c r="B801" s="2"/>
      <c r="F801" s="5"/>
      <c r="G801" s="5"/>
    </row>
    <row r="802" spans="1:7" ht="14.25" customHeight="1" x14ac:dyDescent="0.3">
      <c r="A802" s="2"/>
      <c r="B802" s="2"/>
      <c r="F802" s="5"/>
      <c r="G802" s="5"/>
    </row>
    <row r="803" spans="1:7" ht="14.25" customHeight="1" x14ac:dyDescent="0.3">
      <c r="A803" s="2"/>
      <c r="B803" s="2"/>
      <c r="F803" s="5"/>
      <c r="G803" s="5"/>
    </row>
    <row r="804" spans="1:7" ht="14.25" customHeight="1" x14ac:dyDescent="0.3">
      <c r="A804" s="2"/>
      <c r="B804" s="2"/>
      <c r="F804" s="5"/>
      <c r="G804" s="5"/>
    </row>
    <row r="805" spans="1:7" ht="14.25" customHeight="1" x14ac:dyDescent="0.3">
      <c r="A805" s="2"/>
      <c r="B805" s="2"/>
      <c r="F805" s="5"/>
      <c r="G805" s="5"/>
    </row>
    <row r="806" spans="1:7" ht="14.25" customHeight="1" x14ac:dyDescent="0.3">
      <c r="A806" s="2"/>
      <c r="B806" s="2"/>
      <c r="F806" s="5"/>
      <c r="G806" s="5"/>
    </row>
    <row r="807" spans="1:7" ht="14.25" customHeight="1" x14ac:dyDescent="0.3">
      <c r="A807" s="2"/>
      <c r="B807" s="2"/>
      <c r="F807" s="5"/>
      <c r="G807" s="5"/>
    </row>
    <row r="808" spans="1:7" ht="14.25" customHeight="1" x14ac:dyDescent="0.3">
      <c r="A808" s="2"/>
      <c r="B808" s="2"/>
      <c r="F808" s="5"/>
      <c r="G808" s="5"/>
    </row>
    <row r="809" spans="1:7" ht="14.25" customHeight="1" x14ac:dyDescent="0.3">
      <c r="A809" s="2"/>
      <c r="B809" s="2"/>
      <c r="F809" s="5"/>
      <c r="G809" s="5"/>
    </row>
    <row r="810" spans="1:7" ht="14.25" customHeight="1" x14ac:dyDescent="0.3">
      <c r="A810" s="2"/>
      <c r="B810" s="2"/>
      <c r="F810" s="5"/>
      <c r="G810" s="5"/>
    </row>
    <row r="811" spans="1:7" ht="14.25" customHeight="1" x14ac:dyDescent="0.3">
      <c r="A811" s="2"/>
      <c r="B811" s="2"/>
      <c r="F811" s="5"/>
      <c r="G811" s="5"/>
    </row>
    <row r="812" spans="1:7" ht="14.25" customHeight="1" x14ac:dyDescent="0.3">
      <c r="A812" s="2"/>
      <c r="B812" s="2"/>
      <c r="F812" s="5"/>
      <c r="G812" s="5"/>
    </row>
    <row r="813" spans="1:7" ht="14.25" customHeight="1" x14ac:dyDescent="0.3">
      <c r="A813" s="2"/>
      <c r="B813" s="2"/>
      <c r="F813" s="5"/>
      <c r="G813" s="5"/>
    </row>
    <row r="814" spans="1:7" ht="14.25" customHeight="1" x14ac:dyDescent="0.3">
      <c r="A814" s="2"/>
      <c r="B814" s="2"/>
      <c r="F814" s="5"/>
      <c r="G814" s="5"/>
    </row>
    <row r="815" spans="1:7" ht="14.25" customHeight="1" x14ac:dyDescent="0.3">
      <c r="A815" s="2"/>
      <c r="B815" s="2"/>
      <c r="F815" s="5"/>
      <c r="G815" s="5"/>
    </row>
    <row r="816" spans="1:7" ht="14.25" customHeight="1" x14ac:dyDescent="0.3">
      <c r="A816" s="2"/>
      <c r="B816" s="2"/>
      <c r="F816" s="5"/>
      <c r="G816" s="5"/>
    </row>
    <row r="817" spans="1:7" ht="14.25" customHeight="1" x14ac:dyDescent="0.3">
      <c r="A817" s="2"/>
      <c r="B817" s="2"/>
      <c r="F817" s="5"/>
      <c r="G817" s="5"/>
    </row>
    <row r="818" spans="1:7" ht="14.25" customHeight="1" x14ac:dyDescent="0.3">
      <c r="A818" s="2"/>
      <c r="B818" s="2"/>
      <c r="F818" s="5"/>
      <c r="G818" s="5"/>
    </row>
    <row r="819" spans="1:7" ht="14.25" customHeight="1" x14ac:dyDescent="0.3">
      <c r="A819" s="2"/>
      <c r="B819" s="2"/>
      <c r="F819" s="5"/>
      <c r="G819" s="5"/>
    </row>
    <row r="820" spans="1:7" ht="14.25" customHeight="1" x14ac:dyDescent="0.3">
      <c r="A820" s="2"/>
      <c r="B820" s="2"/>
      <c r="F820" s="5"/>
      <c r="G820" s="5"/>
    </row>
    <row r="821" spans="1:7" ht="14.25" customHeight="1" x14ac:dyDescent="0.3">
      <c r="A821" s="2"/>
      <c r="B821" s="2"/>
      <c r="F821" s="5"/>
      <c r="G821" s="5"/>
    </row>
    <row r="822" spans="1:7" ht="14.25" customHeight="1" x14ac:dyDescent="0.3">
      <c r="A822" s="2"/>
      <c r="B822" s="2"/>
      <c r="F822" s="5"/>
      <c r="G822" s="5"/>
    </row>
    <row r="823" spans="1:7" ht="14.25" customHeight="1" x14ac:dyDescent="0.3">
      <c r="A823" s="2"/>
      <c r="B823" s="2"/>
      <c r="F823" s="5"/>
      <c r="G823" s="5"/>
    </row>
    <row r="824" spans="1:7" ht="14.25" customHeight="1" x14ac:dyDescent="0.3">
      <c r="A824" s="2"/>
      <c r="B824" s="2"/>
      <c r="F824" s="5"/>
      <c r="G824" s="5"/>
    </row>
    <row r="825" spans="1:7" ht="14.25" customHeight="1" x14ac:dyDescent="0.3">
      <c r="A825" s="2"/>
      <c r="B825" s="2"/>
      <c r="F825" s="5"/>
      <c r="G825" s="5"/>
    </row>
    <row r="826" spans="1:7" ht="14.25" customHeight="1" x14ac:dyDescent="0.3">
      <c r="A826" s="2"/>
      <c r="B826" s="2"/>
      <c r="F826" s="5"/>
      <c r="G826" s="5"/>
    </row>
    <row r="827" spans="1:7" ht="14.25" customHeight="1" x14ac:dyDescent="0.3">
      <c r="A827" s="2"/>
      <c r="B827" s="2"/>
      <c r="F827" s="5"/>
      <c r="G827" s="5"/>
    </row>
    <row r="828" spans="1:7" ht="14.25" customHeight="1" x14ac:dyDescent="0.3">
      <c r="A828" s="2"/>
      <c r="B828" s="2"/>
      <c r="F828" s="5"/>
      <c r="G828" s="5"/>
    </row>
    <row r="829" spans="1:7" ht="14.25" customHeight="1" x14ac:dyDescent="0.3">
      <c r="A829" s="2"/>
      <c r="B829" s="2"/>
      <c r="F829" s="5"/>
      <c r="G829" s="5"/>
    </row>
    <row r="830" spans="1:7" ht="14.25" customHeight="1" x14ac:dyDescent="0.3">
      <c r="A830" s="2"/>
      <c r="B830" s="2"/>
      <c r="F830" s="5"/>
      <c r="G830" s="5"/>
    </row>
    <row r="831" spans="1:7" ht="14.25" customHeight="1" x14ac:dyDescent="0.3">
      <c r="A831" s="2"/>
      <c r="B831" s="2"/>
      <c r="F831" s="5"/>
      <c r="G831" s="5"/>
    </row>
    <row r="832" spans="1:7" ht="14.25" customHeight="1" x14ac:dyDescent="0.3">
      <c r="A832" s="2"/>
      <c r="B832" s="2"/>
      <c r="F832" s="5"/>
      <c r="G832" s="5"/>
    </row>
    <row r="833" spans="1:7" ht="14.25" customHeight="1" x14ac:dyDescent="0.3">
      <c r="A833" s="2"/>
      <c r="B833" s="2"/>
      <c r="F833" s="5"/>
      <c r="G833" s="5"/>
    </row>
    <row r="834" spans="1:7" ht="14.25" customHeight="1" x14ac:dyDescent="0.3">
      <c r="A834" s="2"/>
      <c r="B834" s="2"/>
      <c r="F834" s="5"/>
      <c r="G834" s="5"/>
    </row>
    <row r="835" spans="1:7" ht="14.25" customHeight="1" x14ac:dyDescent="0.3">
      <c r="A835" s="2"/>
      <c r="B835" s="2"/>
      <c r="F835" s="5"/>
      <c r="G835" s="5"/>
    </row>
    <row r="836" spans="1:7" ht="14.25" customHeight="1" x14ac:dyDescent="0.3">
      <c r="A836" s="2"/>
      <c r="B836" s="2"/>
      <c r="F836" s="5"/>
      <c r="G836" s="5"/>
    </row>
    <row r="837" spans="1:7" ht="14.25" customHeight="1" x14ac:dyDescent="0.3">
      <c r="A837" s="2"/>
      <c r="B837" s="2"/>
      <c r="F837" s="5"/>
      <c r="G837" s="5"/>
    </row>
    <row r="838" spans="1:7" ht="14.25" customHeight="1" x14ac:dyDescent="0.3">
      <c r="A838" s="2"/>
      <c r="B838" s="2"/>
      <c r="F838" s="5"/>
      <c r="G838" s="5"/>
    </row>
    <row r="839" spans="1:7" ht="14.25" customHeight="1" x14ac:dyDescent="0.3">
      <c r="A839" s="2"/>
      <c r="B839" s="2"/>
      <c r="F839" s="5"/>
      <c r="G839" s="5"/>
    </row>
    <row r="840" spans="1:7" ht="14.25" customHeight="1" x14ac:dyDescent="0.3">
      <c r="A840" s="2"/>
      <c r="B840" s="2"/>
      <c r="F840" s="5"/>
      <c r="G840" s="5"/>
    </row>
    <row r="841" spans="1:7" ht="14.25" customHeight="1" x14ac:dyDescent="0.3">
      <c r="A841" s="2"/>
      <c r="B841" s="2"/>
      <c r="F841" s="5"/>
      <c r="G841" s="5"/>
    </row>
    <row r="842" spans="1:7" ht="14.25" customHeight="1" x14ac:dyDescent="0.3">
      <c r="A842" s="2"/>
      <c r="B842" s="2"/>
      <c r="F842" s="5"/>
      <c r="G842" s="5"/>
    </row>
    <row r="843" spans="1:7" ht="14.25" customHeight="1" x14ac:dyDescent="0.3">
      <c r="A843" s="2"/>
      <c r="B843" s="2"/>
      <c r="F843" s="5"/>
      <c r="G843" s="5"/>
    </row>
    <row r="844" spans="1:7" ht="14.25" customHeight="1" x14ac:dyDescent="0.3">
      <c r="A844" s="2"/>
      <c r="B844" s="2"/>
      <c r="F844" s="5"/>
      <c r="G844" s="5"/>
    </row>
    <row r="845" spans="1:7" ht="14.25" customHeight="1" x14ac:dyDescent="0.3">
      <c r="A845" s="2"/>
      <c r="B845" s="2"/>
      <c r="F845" s="5"/>
      <c r="G845" s="5"/>
    </row>
    <row r="846" spans="1:7" ht="14.25" customHeight="1" x14ac:dyDescent="0.3">
      <c r="A846" s="2"/>
      <c r="B846" s="2"/>
      <c r="F846" s="5"/>
      <c r="G846" s="5"/>
    </row>
    <row r="847" spans="1:7" ht="14.25" customHeight="1" x14ac:dyDescent="0.3">
      <c r="A847" s="2"/>
      <c r="B847" s="2"/>
      <c r="F847" s="5"/>
      <c r="G847" s="5"/>
    </row>
    <row r="848" spans="1:7" ht="14.25" customHeight="1" x14ac:dyDescent="0.3">
      <c r="A848" s="2"/>
      <c r="B848" s="2"/>
      <c r="F848" s="5"/>
      <c r="G848" s="5"/>
    </row>
    <row r="849" spans="1:7" ht="14.25" customHeight="1" x14ac:dyDescent="0.3">
      <c r="A849" s="2"/>
      <c r="B849" s="2"/>
      <c r="F849" s="5"/>
      <c r="G849" s="5"/>
    </row>
    <row r="850" spans="1:7" ht="14.25" customHeight="1" x14ac:dyDescent="0.3">
      <c r="A850" s="2"/>
      <c r="B850" s="2"/>
      <c r="F850" s="5"/>
      <c r="G850" s="5"/>
    </row>
    <row r="851" spans="1:7" ht="14.25" customHeight="1" x14ac:dyDescent="0.3">
      <c r="A851" s="2"/>
      <c r="B851" s="2"/>
      <c r="F851" s="5"/>
      <c r="G851" s="5"/>
    </row>
    <row r="852" spans="1:7" ht="14.25" customHeight="1" x14ac:dyDescent="0.3">
      <c r="A852" s="2"/>
      <c r="B852" s="2"/>
      <c r="F852" s="5"/>
      <c r="G852" s="5"/>
    </row>
    <row r="853" spans="1:7" ht="14.25" customHeight="1" x14ac:dyDescent="0.3">
      <c r="A853" s="2"/>
      <c r="B853" s="2"/>
      <c r="F853" s="5"/>
      <c r="G853" s="5"/>
    </row>
    <row r="854" spans="1:7" ht="14.25" customHeight="1" x14ac:dyDescent="0.3">
      <c r="A854" s="2"/>
      <c r="B854" s="2"/>
      <c r="F854" s="5"/>
      <c r="G854" s="5"/>
    </row>
    <row r="855" spans="1:7" ht="14.25" customHeight="1" x14ac:dyDescent="0.3">
      <c r="A855" s="2"/>
      <c r="B855" s="2"/>
      <c r="F855" s="5"/>
      <c r="G855" s="5"/>
    </row>
    <row r="856" spans="1:7" ht="14.25" customHeight="1" x14ac:dyDescent="0.3">
      <c r="A856" s="2"/>
      <c r="B856" s="2"/>
      <c r="F856" s="5"/>
      <c r="G856" s="5"/>
    </row>
    <row r="857" spans="1:7" ht="14.25" customHeight="1" x14ac:dyDescent="0.3">
      <c r="A857" s="2"/>
      <c r="B857" s="2"/>
      <c r="F857" s="5"/>
      <c r="G857" s="5"/>
    </row>
    <row r="858" spans="1:7" ht="14.25" customHeight="1" x14ac:dyDescent="0.3">
      <c r="A858" s="2"/>
      <c r="B858" s="2"/>
      <c r="F858" s="5"/>
      <c r="G858" s="5"/>
    </row>
    <row r="859" spans="1:7" ht="14.25" customHeight="1" x14ac:dyDescent="0.3">
      <c r="A859" s="2"/>
      <c r="B859" s="2"/>
      <c r="F859" s="5"/>
      <c r="G859" s="5"/>
    </row>
    <row r="860" spans="1:7" ht="14.25" customHeight="1" x14ac:dyDescent="0.3">
      <c r="A860" s="2"/>
      <c r="B860" s="2"/>
      <c r="F860" s="5"/>
      <c r="G860" s="5"/>
    </row>
    <row r="861" spans="1:7" ht="14.25" customHeight="1" x14ac:dyDescent="0.3">
      <c r="A861" s="2"/>
      <c r="B861" s="2"/>
      <c r="F861" s="5"/>
      <c r="G861" s="5"/>
    </row>
    <row r="862" spans="1:7" ht="14.25" customHeight="1" x14ac:dyDescent="0.3">
      <c r="A862" s="2"/>
      <c r="B862" s="2"/>
      <c r="F862" s="5"/>
      <c r="G862" s="5"/>
    </row>
    <row r="863" spans="1:7" ht="14.25" customHeight="1" x14ac:dyDescent="0.3">
      <c r="A863" s="2"/>
      <c r="B863" s="2"/>
      <c r="F863" s="5"/>
      <c r="G863" s="5"/>
    </row>
    <row r="864" spans="1:7" ht="14.25" customHeight="1" x14ac:dyDescent="0.3">
      <c r="A864" s="2"/>
      <c r="B864" s="2"/>
      <c r="F864" s="5"/>
      <c r="G864" s="5"/>
    </row>
    <row r="865" spans="1:7" ht="14.25" customHeight="1" x14ac:dyDescent="0.3">
      <c r="A865" s="2"/>
      <c r="B865" s="2"/>
      <c r="F865" s="5"/>
      <c r="G865" s="5"/>
    </row>
    <row r="866" spans="1:7" ht="14.25" customHeight="1" x14ac:dyDescent="0.3">
      <c r="A866" s="2"/>
      <c r="B866" s="2"/>
      <c r="F866" s="5"/>
      <c r="G866" s="5"/>
    </row>
    <row r="867" spans="1:7" ht="14.25" customHeight="1" x14ac:dyDescent="0.3">
      <c r="A867" s="2"/>
      <c r="B867" s="2"/>
      <c r="F867" s="5"/>
      <c r="G867" s="5"/>
    </row>
    <row r="868" spans="1:7" ht="14.25" customHeight="1" x14ac:dyDescent="0.3">
      <c r="A868" s="2"/>
      <c r="B868" s="2"/>
      <c r="F868" s="5"/>
      <c r="G868" s="5"/>
    </row>
    <row r="869" spans="1:7" ht="14.25" customHeight="1" x14ac:dyDescent="0.3">
      <c r="A869" s="2"/>
      <c r="B869" s="2"/>
      <c r="F869" s="5"/>
      <c r="G869" s="5"/>
    </row>
    <row r="870" spans="1:7" ht="14.25" customHeight="1" x14ac:dyDescent="0.3">
      <c r="A870" s="2"/>
      <c r="B870" s="2"/>
      <c r="F870" s="5"/>
      <c r="G870" s="5"/>
    </row>
    <row r="871" spans="1:7" ht="14.25" customHeight="1" x14ac:dyDescent="0.3">
      <c r="A871" s="2"/>
      <c r="B871" s="2"/>
      <c r="F871" s="5"/>
      <c r="G871" s="5"/>
    </row>
    <row r="872" spans="1:7" ht="14.25" customHeight="1" x14ac:dyDescent="0.3">
      <c r="A872" s="2"/>
      <c r="B872" s="2"/>
      <c r="F872" s="5"/>
      <c r="G872" s="5"/>
    </row>
    <row r="873" spans="1:7" ht="14.25" customHeight="1" x14ac:dyDescent="0.3">
      <c r="A873" s="2"/>
      <c r="B873" s="2"/>
      <c r="F873" s="5"/>
      <c r="G873" s="5"/>
    </row>
    <row r="874" spans="1:7" ht="14.25" customHeight="1" x14ac:dyDescent="0.3">
      <c r="A874" s="2"/>
      <c r="B874" s="2"/>
      <c r="F874" s="5"/>
      <c r="G874" s="5"/>
    </row>
    <row r="875" spans="1:7" ht="14.25" customHeight="1" x14ac:dyDescent="0.3">
      <c r="A875" s="2"/>
      <c r="B875" s="2"/>
      <c r="F875" s="5"/>
      <c r="G875" s="5"/>
    </row>
    <row r="876" spans="1:7" ht="14.25" customHeight="1" x14ac:dyDescent="0.3">
      <c r="A876" s="2"/>
      <c r="B876" s="2"/>
      <c r="F876" s="5"/>
      <c r="G876" s="5"/>
    </row>
    <row r="877" spans="1:7" ht="14.25" customHeight="1" x14ac:dyDescent="0.3">
      <c r="A877" s="2"/>
      <c r="B877" s="2"/>
      <c r="F877" s="5"/>
      <c r="G877" s="5"/>
    </row>
    <row r="878" spans="1:7" ht="14.25" customHeight="1" x14ac:dyDescent="0.3">
      <c r="A878" s="2"/>
      <c r="B878" s="2"/>
      <c r="F878" s="5"/>
      <c r="G878" s="5"/>
    </row>
    <row r="879" spans="1:7" ht="14.25" customHeight="1" x14ac:dyDescent="0.3">
      <c r="A879" s="2"/>
      <c r="B879" s="2"/>
      <c r="F879" s="5"/>
      <c r="G879" s="5"/>
    </row>
    <row r="880" spans="1:7" ht="14.25" customHeight="1" x14ac:dyDescent="0.3">
      <c r="A880" s="2"/>
      <c r="B880" s="2"/>
      <c r="F880" s="5"/>
      <c r="G880" s="5"/>
    </row>
    <row r="881" spans="1:7" ht="14.25" customHeight="1" x14ac:dyDescent="0.3">
      <c r="A881" s="2"/>
      <c r="B881" s="2"/>
      <c r="F881" s="5"/>
      <c r="G881" s="5"/>
    </row>
    <row r="882" spans="1:7" ht="14.25" customHeight="1" x14ac:dyDescent="0.3">
      <c r="A882" s="2"/>
      <c r="B882" s="2"/>
      <c r="F882" s="5"/>
      <c r="G882" s="5"/>
    </row>
    <row r="883" spans="1:7" ht="14.25" customHeight="1" x14ac:dyDescent="0.3">
      <c r="A883" s="2"/>
      <c r="B883" s="2"/>
      <c r="F883" s="5"/>
      <c r="G883" s="5"/>
    </row>
    <row r="884" spans="1:7" ht="14.25" customHeight="1" x14ac:dyDescent="0.3">
      <c r="A884" s="2"/>
      <c r="B884" s="2"/>
      <c r="F884" s="5"/>
      <c r="G884" s="5"/>
    </row>
    <row r="885" spans="1:7" ht="14.25" customHeight="1" x14ac:dyDescent="0.3">
      <c r="A885" s="2"/>
      <c r="B885" s="2"/>
      <c r="F885" s="5"/>
      <c r="G885" s="5"/>
    </row>
    <row r="886" spans="1:7" ht="14.25" customHeight="1" x14ac:dyDescent="0.3">
      <c r="A886" s="2"/>
      <c r="B886" s="2"/>
      <c r="F886" s="5"/>
      <c r="G886" s="5"/>
    </row>
    <row r="887" spans="1:7" ht="14.25" customHeight="1" x14ac:dyDescent="0.3">
      <c r="A887" s="2"/>
      <c r="B887" s="2"/>
      <c r="F887" s="5"/>
      <c r="G887" s="5"/>
    </row>
    <row r="888" spans="1:7" ht="14.25" customHeight="1" x14ac:dyDescent="0.3">
      <c r="A888" s="2"/>
      <c r="B888" s="2"/>
      <c r="F888" s="5"/>
      <c r="G888" s="5"/>
    </row>
    <row r="889" spans="1:7" ht="14.25" customHeight="1" x14ac:dyDescent="0.3">
      <c r="A889" s="2"/>
      <c r="B889" s="2"/>
      <c r="F889" s="5"/>
      <c r="G889" s="5"/>
    </row>
    <row r="890" spans="1:7" ht="14.25" customHeight="1" x14ac:dyDescent="0.3">
      <c r="A890" s="2"/>
      <c r="B890" s="2"/>
      <c r="F890" s="5"/>
      <c r="G890" s="5"/>
    </row>
    <row r="891" spans="1:7" ht="14.25" customHeight="1" x14ac:dyDescent="0.3">
      <c r="A891" s="2"/>
      <c r="B891" s="2"/>
      <c r="F891" s="5"/>
      <c r="G891" s="5"/>
    </row>
    <row r="892" spans="1:7" ht="14.25" customHeight="1" x14ac:dyDescent="0.3">
      <c r="A892" s="2"/>
      <c r="B892" s="2"/>
      <c r="F892" s="5"/>
      <c r="G892" s="5"/>
    </row>
    <row r="893" spans="1:7" ht="14.25" customHeight="1" x14ac:dyDescent="0.3">
      <c r="A893" s="2"/>
      <c r="B893" s="2"/>
      <c r="F893" s="5"/>
      <c r="G893" s="5"/>
    </row>
    <row r="894" spans="1:7" ht="14.25" customHeight="1" x14ac:dyDescent="0.3">
      <c r="A894" s="2"/>
      <c r="B894" s="2"/>
      <c r="F894" s="5"/>
      <c r="G894" s="5"/>
    </row>
    <row r="895" spans="1:7" ht="14.25" customHeight="1" x14ac:dyDescent="0.3">
      <c r="A895" s="2"/>
      <c r="B895" s="2"/>
      <c r="F895" s="5"/>
      <c r="G895" s="5"/>
    </row>
    <row r="896" spans="1:7" ht="14.25" customHeight="1" x14ac:dyDescent="0.3">
      <c r="A896" s="2"/>
      <c r="B896" s="2"/>
      <c r="F896" s="5"/>
      <c r="G896" s="5"/>
    </row>
    <row r="897" spans="1:7" ht="14.25" customHeight="1" x14ac:dyDescent="0.3">
      <c r="A897" s="2"/>
      <c r="B897" s="2"/>
      <c r="F897" s="5"/>
      <c r="G897" s="5"/>
    </row>
    <row r="898" spans="1:7" ht="14.25" customHeight="1" x14ac:dyDescent="0.3">
      <c r="A898" s="2"/>
      <c r="B898" s="2"/>
      <c r="F898" s="5"/>
      <c r="G898" s="5"/>
    </row>
    <row r="899" spans="1:7" ht="14.25" customHeight="1" x14ac:dyDescent="0.3">
      <c r="A899" s="2"/>
      <c r="B899" s="2"/>
      <c r="F899" s="5"/>
      <c r="G899" s="5"/>
    </row>
    <row r="900" spans="1:7" ht="14.25" customHeight="1" x14ac:dyDescent="0.3">
      <c r="A900" s="2"/>
      <c r="B900" s="2"/>
      <c r="F900" s="5"/>
      <c r="G900" s="5"/>
    </row>
    <row r="901" spans="1:7" ht="14.25" customHeight="1" x14ac:dyDescent="0.3">
      <c r="A901" s="2"/>
      <c r="B901" s="2"/>
      <c r="F901" s="5"/>
      <c r="G901" s="5"/>
    </row>
    <row r="902" spans="1:7" ht="14.25" customHeight="1" x14ac:dyDescent="0.3">
      <c r="A902" s="2"/>
      <c r="B902" s="2"/>
      <c r="F902" s="5"/>
      <c r="G902" s="5"/>
    </row>
    <row r="903" spans="1:7" ht="14.25" customHeight="1" x14ac:dyDescent="0.3">
      <c r="A903" s="2"/>
      <c r="B903" s="2"/>
      <c r="F903" s="5"/>
      <c r="G903" s="5"/>
    </row>
    <row r="904" spans="1:7" ht="14.25" customHeight="1" x14ac:dyDescent="0.3">
      <c r="A904" s="2"/>
      <c r="B904" s="2"/>
      <c r="F904" s="5"/>
      <c r="G904" s="5"/>
    </row>
    <row r="905" spans="1:7" ht="14.25" customHeight="1" x14ac:dyDescent="0.3">
      <c r="A905" s="2"/>
      <c r="B905" s="2"/>
      <c r="F905" s="5"/>
      <c r="G905" s="5"/>
    </row>
    <row r="906" spans="1:7" ht="14.25" customHeight="1" x14ac:dyDescent="0.3">
      <c r="A906" s="2"/>
      <c r="B906" s="2"/>
      <c r="F906" s="5"/>
      <c r="G906" s="5"/>
    </row>
    <row r="907" spans="1:7" ht="14.25" customHeight="1" x14ac:dyDescent="0.3">
      <c r="A907" s="2"/>
      <c r="B907" s="2"/>
      <c r="F907" s="5"/>
      <c r="G907" s="5"/>
    </row>
    <row r="908" spans="1:7" ht="14.25" customHeight="1" x14ac:dyDescent="0.3">
      <c r="A908" s="2"/>
      <c r="B908" s="2"/>
      <c r="F908" s="5"/>
      <c r="G908" s="5"/>
    </row>
    <row r="909" spans="1:7" ht="14.25" customHeight="1" x14ac:dyDescent="0.3">
      <c r="A909" s="2"/>
      <c r="B909" s="2"/>
      <c r="F909" s="5"/>
      <c r="G909" s="5"/>
    </row>
    <row r="910" spans="1:7" ht="14.25" customHeight="1" x14ac:dyDescent="0.3">
      <c r="A910" s="2"/>
      <c r="B910" s="2"/>
      <c r="F910" s="5"/>
      <c r="G910" s="5"/>
    </row>
    <row r="911" spans="1:7" ht="14.25" customHeight="1" x14ac:dyDescent="0.3">
      <c r="A911" s="2"/>
      <c r="B911" s="2"/>
      <c r="F911" s="5"/>
      <c r="G911" s="5"/>
    </row>
    <row r="912" spans="1:7" ht="14.25" customHeight="1" x14ac:dyDescent="0.3">
      <c r="A912" s="2"/>
      <c r="B912" s="2"/>
      <c r="F912" s="5"/>
      <c r="G912" s="5"/>
    </row>
    <row r="913" spans="1:7" ht="14.25" customHeight="1" x14ac:dyDescent="0.3">
      <c r="A913" s="2"/>
      <c r="B913" s="2"/>
      <c r="F913" s="5"/>
      <c r="G913" s="5"/>
    </row>
    <row r="914" spans="1:7" ht="14.25" customHeight="1" x14ac:dyDescent="0.3">
      <c r="A914" s="2"/>
      <c r="B914" s="2"/>
      <c r="F914" s="5"/>
      <c r="G914" s="5"/>
    </row>
    <row r="915" spans="1:7" ht="14.25" customHeight="1" x14ac:dyDescent="0.3">
      <c r="A915" s="2"/>
      <c r="B915" s="2"/>
      <c r="F915" s="5"/>
      <c r="G915" s="5"/>
    </row>
    <row r="916" spans="1:7" ht="14.25" customHeight="1" x14ac:dyDescent="0.3">
      <c r="A916" s="2"/>
      <c r="B916" s="2"/>
      <c r="F916" s="5"/>
      <c r="G916" s="5"/>
    </row>
    <row r="917" spans="1:7" ht="14.25" customHeight="1" x14ac:dyDescent="0.3">
      <c r="A917" s="2"/>
      <c r="B917" s="2"/>
      <c r="F917" s="5"/>
      <c r="G917" s="5"/>
    </row>
    <row r="918" spans="1:7" ht="14.25" customHeight="1" x14ac:dyDescent="0.3">
      <c r="A918" s="2"/>
      <c r="B918" s="2"/>
      <c r="F918" s="5"/>
      <c r="G918" s="5"/>
    </row>
    <row r="919" spans="1:7" ht="14.25" customHeight="1" x14ac:dyDescent="0.3">
      <c r="A919" s="2"/>
      <c r="B919" s="2"/>
      <c r="F919" s="5"/>
      <c r="G919" s="5"/>
    </row>
    <row r="920" spans="1:7" ht="14.25" customHeight="1" x14ac:dyDescent="0.3">
      <c r="A920" s="2"/>
      <c r="B920" s="2"/>
      <c r="F920" s="5"/>
      <c r="G920" s="5"/>
    </row>
    <row r="921" spans="1:7" ht="14.25" customHeight="1" x14ac:dyDescent="0.3">
      <c r="A921" s="2"/>
      <c r="B921" s="2"/>
      <c r="F921" s="5"/>
      <c r="G921" s="5"/>
    </row>
    <row r="922" spans="1:7" ht="14.25" customHeight="1" x14ac:dyDescent="0.3">
      <c r="A922" s="2"/>
      <c r="B922" s="2"/>
      <c r="F922" s="5"/>
      <c r="G922" s="5"/>
    </row>
    <row r="923" spans="1:7" ht="14.25" customHeight="1" x14ac:dyDescent="0.3">
      <c r="A923" s="2"/>
      <c r="B923" s="2"/>
      <c r="F923" s="5"/>
      <c r="G923" s="5"/>
    </row>
    <row r="924" spans="1:7" ht="14.25" customHeight="1" x14ac:dyDescent="0.3">
      <c r="A924" s="2"/>
      <c r="B924" s="2"/>
      <c r="F924" s="5"/>
      <c r="G924" s="5"/>
    </row>
    <row r="925" spans="1:7" ht="14.25" customHeight="1" x14ac:dyDescent="0.3">
      <c r="A925" s="2"/>
      <c r="B925" s="2"/>
      <c r="F925" s="5"/>
      <c r="G925" s="5"/>
    </row>
    <row r="926" spans="1:7" ht="14.25" customHeight="1" x14ac:dyDescent="0.3">
      <c r="A926" s="2"/>
      <c r="B926" s="2"/>
      <c r="F926" s="5"/>
      <c r="G926" s="5"/>
    </row>
    <row r="927" spans="1:7" ht="14.25" customHeight="1" x14ac:dyDescent="0.3">
      <c r="A927" s="2"/>
      <c r="B927" s="2"/>
      <c r="F927" s="5"/>
      <c r="G927" s="5"/>
    </row>
    <row r="928" spans="1:7" ht="14.25" customHeight="1" x14ac:dyDescent="0.3">
      <c r="A928" s="2"/>
      <c r="B928" s="2"/>
      <c r="F928" s="5"/>
      <c r="G928" s="5"/>
    </row>
    <row r="929" spans="1:7" ht="14.25" customHeight="1" x14ac:dyDescent="0.3">
      <c r="A929" s="2"/>
      <c r="B929" s="2"/>
      <c r="F929" s="5"/>
      <c r="G929" s="5"/>
    </row>
    <row r="930" spans="1:7" ht="14.25" customHeight="1" x14ac:dyDescent="0.3">
      <c r="A930" s="2"/>
      <c r="B930" s="2"/>
      <c r="F930" s="5"/>
      <c r="G930" s="5"/>
    </row>
    <row r="931" spans="1:7" ht="14.25" customHeight="1" x14ac:dyDescent="0.3">
      <c r="A931" s="2"/>
      <c r="B931" s="2"/>
      <c r="F931" s="5"/>
      <c r="G931" s="5"/>
    </row>
    <row r="932" spans="1:7" ht="14.25" customHeight="1" x14ac:dyDescent="0.3">
      <c r="A932" s="2"/>
      <c r="B932" s="2"/>
      <c r="F932" s="5"/>
      <c r="G932" s="5"/>
    </row>
    <row r="933" spans="1:7" ht="14.25" customHeight="1" x14ac:dyDescent="0.3">
      <c r="A933" s="2"/>
      <c r="B933" s="2"/>
      <c r="F933" s="5"/>
      <c r="G933" s="5"/>
    </row>
    <row r="934" spans="1:7" ht="14.25" customHeight="1" x14ac:dyDescent="0.3">
      <c r="A934" s="2"/>
      <c r="B934" s="2"/>
      <c r="F934" s="5"/>
      <c r="G934" s="5"/>
    </row>
    <row r="935" spans="1:7" ht="14.25" customHeight="1" x14ac:dyDescent="0.3">
      <c r="A935" s="2"/>
      <c r="B935" s="2"/>
      <c r="F935" s="5"/>
      <c r="G935" s="5"/>
    </row>
    <row r="936" spans="1:7" ht="14.25" customHeight="1" x14ac:dyDescent="0.3">
      <c r="A936" s="2"/>
      <c r="B936" s="2"/>
      <c r="F936" s="5"/>
      <c r="G936" s="5"/>
    </row>
    <row r="937" spans="1:7" ht="14.25" customHeight="1" x14ac:dyDescent="0.3">
      <c r="A937" s="2"/>
      <c r="B937" s="2"/>
      <c r="F937" s="5"/>
      <c r="G937" s="5"/>
    </row>
    <row r="938" spans="1:7" ht="14.25" customHeight="1" x14ac:dyDescent="0.3">
      <c r="A938" s="2"/>
      <c r="B938" s="2"/>
      <c r="F938" s="5"/>
      <c r="G938" s="5"/>
    </row>
    <row r="939" spans="1:7" ht="14.25" customHeight="1" x14ac:dyDescent="0.3">
      <c r="A939" s="2"/>
      <c r="B939" s="2"/>
      <c r="F939" s="5"/>
      <c r="G939" s="5"/>
    </row>
    <row r="940" spans="1:7" ht="14.25" customHeight="1" x14ac:dyDescent="0.3">
      <c r="A940" s="2"/>
      <c r="B940" s="2"/>
      <c r="F940" s="5"/>
      <c r="G940" s="5"/>
    </row>
    <row r="941" spans="1:7" ht="14.25" customHeight="1" x14ac:dyDescent="0.3">
      <c r="A941" s="2"/>
      <c r="B941" s="2"/>
      <c r="F941" s="5"/>
      <c r="G941" s="5"/>
    </row>
    <row r="942" spans="1:7" ht="14.25" customHeight="1" x14ac:dyDescent="0.3">
      <c r="A942" s="2"/>
      <c r="B942" s="2"/>
      <c r="F942" s="5"/>
      <c r="G942" s="5"/>
    </row>
    <row r="943" spans="1:7" ht="14.25" customHeight="1" x14ac:dyDescent="0.3">
      <c r="A943" s="2"/>
      <c r="B943" s="2"/>
      <c r="F943" s="5"/>
      <c r="G943" s="5"/>
    </row>
    <row r="944" spans="1:7" ht="14.25" customHeight="1" x14ac:dyDescent="0.3">
      <c r="A944" s="2"/>
      <c r="B944" s="2"/>
      <c r="F944" s="5"/>
      <c r="G944" s="5"/>
    </row>
    <row r="945" spans="1:7" ht="14.25" customHeight="1" x14ac:dyDescent="0.3">
      <c r="A945" s="2"/>
      <c r="B945" s="2"/>
      <c r="F945" s="5"/>
      <c r="G945" s="5"/>
    </row>
    <row r="946" spans="1:7" ht="14.25" customHeight="1" x14ac:dyDescent="0.3">
      <c r="A946" s="2"/>
      <c r="B946" s="2"/>
      <c r="F946" s="5"/>
      <c r="G946" s="5"/>
    </row>
    <row r="947" spans="1:7" ht="14.25" customHeight="1" x14ac:dyDescent="0.3">
      <c r="A947" s="2"/>
      <c r="B947" s="2"/>
      <c r="F947" s="5"/>
      <c r="G947" s="5"/>
    </row>
    <row r="948" spans="1:7" ht="14.25" customHeight="1" x14ac:dyDescent="0.3">
      <c r="A948" s="2"/>
      <c r="B948" s="2"/>
      <c r="F948" s="5"/>
      <c r="G948" s="5"/>
    </row>
    <row r="949" spans="1:7" ht="14.25" customHeight="1" x14ac:dyDescent="0.3">
      <c r="A949" s="2"/>
      <c r="B949" s="2"/>
      <c r="F949" s="5"/>
      <c r="G949" s="5"/>
    </row>
    <row r="950" spans="1:7" ht="14.25" customHeight="1" x14ac:dyDescent="0.3">
      <c r="A950" s="2"/>
      <c r="B950" s="2"/>
      <c r="F950" s="5"/>
      <c r="G950" s="5"/>
    </row>
    <row r="951" spans="1:7" ht="14.25" customHeight="1" x14ac:dyDescent="0.3">
      <c r="A951" s="2"/>
      <c r="B951" s="2"/>
      <c r="F951" s="5"/>
      <c r="G951" s="5"/>
    </row>
    <row r="952" spans="1:7" ht="14.25" customHeight="1" x14ac:dyDescent="0.3">
      <c r="A952" s="2"/>
      <c r="B952" s="2"/>
      <c r="F952" s="5"/>
      <c r="G952" s="5"/>
    </row>
    <row r="953" spans="1:7" ht="14.25" customHeight="1" x14ac:dyDescent="0.3">
      <c r="A953" s="2"/>
      <c r="B953" s="2"/>
      <c r="F953" s="5"/>
      <c r="G953" s="5"/>
    </row>
    <row r="954" spans="1:7" ht="14.25" customHeight="1" x14ac:dyDescent="0.3">
      <c r="A954" s="2"/>
      <c r="B954" s="2"/>
      <c r="F954" s="5"/>
      <c r="G954" s="5"/>
    </row>
    <row r="955" spans="1:7" ht="14.25" customHeight="1" x14ac:dyDescent="0.3">
      <c r="A955" s="2"/>
      <c r="B955" s="2"/>
      <c r="F955" s="5"/>
      <c r="G955" s="5"/>
    </row>
    <row r="956" spans="1:7" ht="14.25" customHeight="1" x14ac:dyDescent="0.3">
      <c r="A956" s="2"/>
      <c r="B956" s="2"/>
      <c r="F956" s="5"/>
      <c r="G956" s="5"/>
    </row>
    <row r="957" spans="1:7" ht="14.25" customHeight="1" x14ac:dyDescent="0.3">
      <c r="A957" s="2"/>
      <c r="B957" s="2"/>
      <c r="F957" s="5"/>
      <c r="G957" s="5"/>
    </row>
    <row r="958" spans="1:7" ht="14.25" customHeight="1" x14ac:dyDescent="0.3">
      <c r="A958" s="2"/>
      <c r="B958" s="2"/>
      <c r="F958" s="5"/>
      <c r="G958" s="5"/>
    </row>
    <row r="959" spans="1:7" ht="14.25" customHeight="1" x14ac:dyDescent="0.3">
      <c r="A959" s="2"/>
      <c r="B959" s="2"/>
      <c r="F959" s="5"/>
      <c r="G959" s="5"/>
    </row>
    <row r="960" spans="1:7" ht="14.25" customHeight="1" x14ac:dyDescent="0.3">
      <c r="A960" s="2"/>
      <c r="B960" s="2"/>
      <c r="F960" s="5"/>
      <c r="G960" s="5"/>
    </row>
    <row r="961" spans="1:7" ht="14.25" customHeight="1" x14ac:dyDescent="0.3">
      <c r="A961" s="2"/>
      <c r="B961" s="2"/>
      <c r="F961" s="5"/>
      <c r="G961" s="5"/>
    </row>
    <row r="962" spans="1:7" ht="14.25" customHeight="1" x14ac:dyDescent="0.3">
      <c r="A962" s="2"/>
      <c r="B962" s="2"/>
      <c r="F962" s="5"/>
      <c r="G962" s="5"/>
    </row>
    <row r="963" spans="1:7" ht="14.25" customHeight="1" x14ac:dyDescent="0.3">
      <c r="A963" s="2"/>
      <c r="B963" s="2"/>
      <c r="F963" s="5"/>
      <c r="G963" s="5"/>
    </row>
    <row r="964" spans="1:7" ht="14.25" customHeight="1" x14ac:dyDescent="0.3">
      <c r="A964" s="2"/>
      <c r="B964" s="2"/>
      <c r="F964" s="5"/>
      <c r="G964" s="5"/>
    </row>
    <row r="965" spans="1:7" ht="14.25" customHeight="1" x14ac:dyDescent="0.3">
      <c r="A965" s="2"/>
      <c r="B965" s="2"/>
      <c r="F965" s="5"/>
      <c r="G965" s="5"/>
    </row>
    <row r="966" spans="1:7" ht="14.25" customHeight="1" x14ac:dyDescent="0.3">
      <c r="A966" s="2"/>
      <c r="B966" s="2"/>
      <c r="F966" s="5"/>
      <c r="G966" s="5"/>
    </row>
    <row r="967" spans="1:7" ht="14.25" customHeight="1" x14ac:dyDescent="0.3">
      <c r="A967" s="2"/>
      <c r="B967" s="2"/>
      <c r="F967" s="5"/>
      <c r="G967" s="5"/>
    </row>
    <row r="968" spans="1:7" ht="14.25" customHeight="1" x14ac:dyDescent="0.3">
      <c r="A968" s="2"/>
      <c r="B968" s="2"/>
      <c r="F968" s="5"/>
      <c r="G968" s="5"/>
    </row>
    <row r="969" spans="1:7" ht="14.25" customHeight="1" x14ac:dyDescent="0.3">
      <c r="A969" s="2"/>
      <c r="B969" s="2"/>
      <c r="F969" s="5"/>
      <c r="G969" s="5"/>
    </row>
    <row r="970" spans="1:7" ht="14.25" customHeight="1" x14ac:dyDescent="0.3">
      <c r="A970" s="2"/>
      <c r="B970" s="2"/>
      <c r="F970" s="5"/>
      <c r="G970" s="5"/>
    </row>
    <row r="971" spans="1:7" ht="14.25" customHeight="1" x14ac:dyDescent="0.3">
      <c r="A971" s="2"/>
      <c r="B971" s="2"/>
      <c r="F971" s="5"/>
      <c r="G971" s="5"/>
    </row>
    <row r="972" spans="1:7" ht="14.25" customHeight="1" x14ac:dyDescent="0.3">
      <c r="A972" s="2"/>
      <c r="B972" s="2"/>
      <c r="F972" s="5"/>
      <c r="G972" s="5"/>
    </row>
    <row r="973" spans="1:7" ht="14.25" customHeight="1" x14ac:dyDescent="0.3">
      <c r="A973" s="2"/>
      <c r="B973" s="2"/>
      <c r="F973" s="5"/>
      <c r="G973" s="5"/>
    </row>
    <row r="974" spans="1:7" ht="14.25" customHeight="1" x14ac:dyDescent="0.3">
      <c r="A974" s="2"/>
      <c r="B974" s="2"/>
      <c r="F974" s="5"/>
      <c r="G974" s="5"/>
    </row>
    <row r="975" spans="1:7" ht="14.25" customHeight="1" x14ac:dyDescent="0.3">
      <c r="A975" s="2"/>
      <c r="B975" s="2"/>
      <c r="F975" s="5"/>
      <c r="G975" s="5"/>
    </row>
    <row r="976" spans="1:7" ht="14.25" customHeight="1" x14ac:dyDescent="0.3">
      <c r="A976" s="2"/>
      <c r="B976" s="2"/>
      <c r="F976" s="5"/>
      <c r="G976" s="5"/>
    </row>
    <row r="977" spans="1:7" ht="14.25" customHeight="1" x14ac:dyDescent="0.3">
      <c r="A977" s="2"/>
      <c r="B977" s="2"/>
      <c r="F977" s="5"/>
      <c r="G977" s="5"/>
    </row>
    <row r="978" spans="1:7" ht="14.25" customHeight="1" x14ac:dyDescent="0.3">
      <c r="A978" s="2"/>
      <c r="B978" s="2"/>
      <c r="F978" s="5"/>
      <c r="G978" s="5"/>
    </row>
    <row r="979" spans="1:7" ht="14.25" customHeight="1" x14ac:dyDescent="0.3">
      <c r="A979" s="2"/>
      <c r="B979" s="2"/>
      <c r="F979" s="5"/>
      <c r="G979" s="5"/>
    </row>
    <row r="980" spans="1:7" ht="14.25" customHeight="1" x14ac:dyDescent="0.3">
      <c r="A980" s="2"/>
      <c r="B980" s="2"/>
      <c r="F980" s="5"/>
      <c r="G980" s="5"/>
    </row>
    <row r="981" spans="1:7" ht="14.25" customHeight="1" x14ac:dyDescent="0.3">
      <c r="A981" s="2"/>
      <c r="B981" s="2"/>
      <c r="F981" s="5"/>
      <c r="G981" s="5"/>
    </row>
    <row r="982" spans="1:7" ht="14.25" customHeight="1" x14ac:dyDescent="0.3">
      <c r="A982" s="2"/>
      <c r="B982" s="2"/>
      <c r="F982" s="5"/>
      <c r="G982" s="5"/>
    </row>
    <row r="983" spans="1:7" ht="14.25" customHeight="1" x14ac:dyDescent="0.3">
      <c r="A983" s="2"/>
      <c r="B983" s="2"/>
      <c r="F983" s="5"/>
      <c r="G983" s="5"/>
    </row>
    <row r="984" spans="1:7" ht="14.25" customHeight="1" x14ac:dyDescent="0.3">
      <c r="A984" s="2"/>
      <c r="B984" s="2"/>
      <c r="F984" s="5"/>
      <c r="G984" s="5"/>
    </row>
    <row r="985" spans="1:7" ht="14.25" customHeight="1" x14ac:dyDescent="0.3">
      <c r="A985" s="2"/>
      <c r="B985" s="2"/>
      <c r="F985" s="5"/>
      <c r="G985" s="5"/>
    </row>
    <row r="986" spans="1:7" ht="14.25" customHeight="1" x14ac:dyDescent="0.3">
      <c r="A986" s="2"/>
      <c r="B986" s="2"/>
      <c r="F986" s="5"/>
      <c r="G986" s="5"/>
    </row>
    <row r="987" spans="1:7" ht="14.25" customHeight="1" x14ac:dyDescent="0.3">
      <c r="A987" s="2"/>
      <c r="B987" s="2"/>
      <c r="F987" s="5"/>
      <c r="G987" s="5"/>
    </row>
    <row r="988" spans="1:7" ht="14.25" customHeight="1" x14ac:dyDescent="0.3">
      <c r="A988" s="2"/>
      <c r="B988" s="2"/>
      <c r="F988" s="5"/>
      <c r="G988" s="5"/>
    </row>
    <row r="989" spans="1:7" ht="14.25" customHeight="1" x14ac:dyDescent="0.3">
      <c r="A989" s="2"/>
      <c r="B989" s="2"/>
      <c r="F989" s="5"/>
      <c r="G989" s="5"/>
    </row>
    <row r="990" spans="1:7" ht="14.25" customHeight="1" x14ac:dyDescent="0.3">
      <c r="A990" s="2"/>
      <c r="B990" s="2"/>
      <c r="F990" s="5"/>
      <c r="G990" s="5"/>
    </row>
    <row r="991" spans="1:7" ht="14.25" customHeight="1" x14ac:dyDescent="0.3">
      <c r="A991" s="2"/>
      <c r="B991" s="2"/>
      <c r="F991" s="5"/>
      <c r="G991" s="5"/>
    </row>
    <row r="992" spans="1:7" ht="14.25" customHeight="1" x14ac:dyDescent="0.3">
      <c r="A992" s="2"/>
      <c r="B992" s="2"/>
      <c r="F992" s="5"/>
      <c r="G992" s="5"/>
    </row>
    <row r="993" spans="1:7" ht="14.25" customHeight="1" x14ac:dyDescent="0.3">
      <c r="A993" s="2"/>
      <c r="B993" s="2"/>
      <c r="F993" s="5"/>
      <c r="G993" s="5"/>
    </row>
    <row r="994" spans="1:7" ht="14.25" customHeight="1" x14ac:dyDescent="0.3">
      <c r="A994" s="2"/>
      <c r="B994" s="2"/>
      <c r="F994" s="5"/>
      <c r="G994" s="5"/>
    </row>
    <row r="995" spans="1:7" ht="14.25" customHeight="1" x14ac:dyDescent="0.3">
      <c r="A995" s="2"/>
      <c r="B995" s="2"/>
      <c r="F995" s="5"/>
      <c r="G995" s="5"/>
    </row>
    <row r="996" spans="1:7" ht="14.25" customHeight="1" x14ac:dyDescent="0.3">
      <c r="A996" s="2"/>
      <c r="B996" s="2"/>
      <c r="F996" s="5"/>
      <c r="G996" s="5"/>
    </row>
    <row r="997" spans="1:7" ht="14.25" customHeight="1" x14ac:dyDescent="0.3">
      <c r="A997" s="2"/>
      <c r="B997" s="2"/>
      <c r="F997" s="5"/>
      <c r="G997" s="5"/>
    </row>
    <row r="998" spans="1:7" ht="14.25" customHeight="1" x14ac:dyDescent="0.3">
      <c r="A998" s="2"/>
      <c r="B998" s="2"/>
      <c r="F998" s="5"/>
      <c r="G998" s="5"/>
    </row>
    <row r="999" spans="1:7" ht="14.25" customHeight="1" x14ac:dyDescent="0.3">
      <c r="A999" s="2"/>
      <c r="B999" s="2"/>
      <c r="F999" s="5"/>
      <c r="G999" s="5"/>
    </row>
    <row r="1000" spans="1:7" ht="14.25" customHeight="1" x14ac:dyDescent="0.3">
      <c r="A1000" s="2"/>
      <c r="B1000" s="2"/>
      <c r="F1000" s="5"/>
      <c r="G1000" s="5"/>
    </row>
  </sheetData>
  <conditionalFormatting sqref="A2:V104">
    <cfRule type="expression" dxfId="0" priority="1">
      <formula>$S$2:$S$104 &gt; INbudget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55A11"/>
  </sheetPr>
  <dimension ref="A1:Z1000"/>
  <sheetViews>
    <sheetView topLeftCell="K1" workbookViewId="0">
      <pane ySplit="1" topLeftCell="A2" activePane="bottomLeft" state="frozen"/>
      <selection pane="bottomLeft" activeCell="W3" sqref="W3"/>
    </sheetView>
  </sheetViews>
  <sheetFormatPr defaultColWidth="14.44140625" defaultRowHeight="15" customHeight="1" x14ac:dyDescent="0.3"/>
  <cols>
    <col min="1" max="1" width="13.44140625" customWidth="1"/>
    <col min="2" max="2" width="27" customWidth="1"/>
    <col min="3" max="3" width="10.33203125" bestFit="1" customWidth="1"/>
    <col min="4" max="4" width="17.21875" hidden="1" customWidth="1"/>
    <col min="5" max="5" width="17.88671875" bestFit="1" customWidth="1"/>
    <col min="6" max="6" width="13.44140625" hidden="1" customWidth="1"/>
    <col min="7" max="7" width="13.44140625" customWidth="1"/>
    <col min="8" max="8" width="19.21875" hidden="1" customWidth="1"/>
    <col min="9" max="9" width="19.44140625" bestFit="1" customWidth="1"/>
    <col min="10" max="10" width="19.5546875" hidden="1" customWidth="1"/>
    <col min="11" max="11" width="18.88671875" bestFit="1" customWidth="1"/>
    <col min="12" max="12" width="13.44140625" customWidth="1"/>
    <col min="13" max="13" width="12.5546875" customWidth="1"/>
    <col min="14" max="14" width="15.33203125" bestFit="1" customWidth="1"/>
    <col min="15" max="15" width="13.44140625" customWidth="1"/>
    <col min="16" max="16" width="10.21875" customWidth="1"/>
    <col min="17" max="17" width="13.44140625" customWidth="1"/>
    <col min="18" max="18" width="13.44140625" hidden="1" customWidth="1"/>
    <col min="19" max="19" width="20.21875" customWidth="1"/>
    <col min="20" max="20" width="16.109375" customWidth="1"/>
    <col min="21" max="21" width="15.77734375" customWidth="1"/>
    <col min="22" max="26" width="13.44140625" customWidth="1"/>
  </cols>
  <sheetData>
    <row r="1" spans="1:26" ht="14.25" customHeight="1" x14ac:dyDescent="0.3">
      <c r="A1" s="7" t="s">
        <v>10</v>
      </c>
      <c r="B1" s="8" t="s">
        <v>11</v>
      </c>
      <c r="C1" s="7" t="s">
        <v>12</v>
      </c>
      <c r="D1" s="7" t="s">
        <v>13</v>
      </c>
      <c r="E1" s="9" t="s">
        <v>14</v>
      </c>
      <c r="F1" s="7" t="s">
        <v>15</v>
      </c>
      <c r="G1" s="9" t="s">
        <v>16</v>
      </c>
      <c r="H1" s="7" t="s">
        <v>17</v>
      </c>
      <c r="I1" s="9" t="s">
        <v>18</v>
      </c>
      <c r="J1" s="7" t="s">
        <v>19</v>
      </c>
      <c r="K1" s="9" t="s">
        <v>20</v>
      </c>
      <c r="L1" s="7" t="s">
        <v>21</v>
      </c>
      <c r="M1" s="7" t="s">
        <v>22</v>
      </c>
      <c r="N1" s="7" t="s">
        <v>23</v>
      </c>
      <c r="O1" s="7" t="s">
        <v>24</v>
      </c>
      <c r="P1" s="7" t="s">
        <v>25</v>
      </c>
      <c r="Q1" s="1" t="s">
        <v>26</v>
      </c>
      <c r="R1" s="10" t="s">
        <v>27</v>
      </c>
      <c r="S1" s="11" t="s">
        <v>28</v>
      </c>
      <c r="T1" s="12" t="s">
        <v>29</v>
      </c>
      <c r="U1" s="12" t="s">
        <v>30</v>
      </c>
      <c r="V1" s="16" t="s">
        <v>106</v>
      </c>
      <c r="W1" s="7" t="s">
        <v>107</v>
      </c>
      <c r="X1" s="33"/>
      <c r="Y1" s="33"/>
      <c r="Z1" s="33"/>
    </row>
    <row r="2" spans="1:26" ht="14.25" customHeight="1" x14ac:dyDescent="0.3">
      <c r="A2" s="23" t="s">
        <v>31</v>
      </c>
      <c r="B2" s="24" t="s">
        <v>32</v>
      </c>
      <c r="C2" s="23">
        <v>4.5999999999999996</v>
      </c>
      <c r="D2" s="23">
        <v>233</v>
      </c>
      <c r="E2" s="25">
        <f>D2/0.62</f>
        <v>375.80645161290323</v>
      </c>
      <c r="F2" s="23">
        <v>450</v>
      </c>
      <c r="G2" s="25">
        <f>F2/0.62</f>
        <v>725.80645161290317</v>
      </c>
      <c r="H2" s="23">
        <v>161</v>
      </c>
      <c r="I2" s="25">
        <f>H2/0.62</f>
        <v>259.67741935483872</v>
      </c>
      <c r="J2" s="23">
        <v>940</v>
      </c>
      <c r="K2" s="25">
        <f>J2/0.62</f>
        <v>1516.1290322580646</v>
      </c>
      <c r="L2" s="23" t="s">
        <v>33</v>
      </c>
      <c r="M2" s="23" t="s">
        <v>34</v>
      </c>
      <c r="N2" s="23" t="s">
        <v>35</v>
      </c>
      <c r="O2" s="23" t="s">
        <v>6</v>
      </c>
      <c r="P2" s="23" t="s">
        <v>36</v>
      </c>
      <c r="Q2" s="26">
        <v>5</v>
      </c>
      <c r="R2" s="27">
        <v>55480</v>
      </c>
      <c r="S2" s="28">
        <f>R2*1.09</f>
        <v>60473.200000000004</v>
      </c>
      <c r="T2" s="17">
        <v>20440</v>
      </c>
      <c r="U2" s="38">
        <v>44.145161290322584</v>
      </c>
      <c r="V2" s="29">
        <v>0.17</v>
      </c>
      <c r="W2" s="17" t="str">
        <f>IF(AND($Q2=Output!$A$3, $O2=Output!$B$3, $S2&lt;=Output!$C$3, $G2&gt;=Output!$D$3), "T", "F")</f>
        <v>F</v>
      </c>
    </row>
    <row r="3" spans="1:26" ht="14.25" customHeight="1" x14ac:dyDescent="0.3">
      <c r="A3" s="23" t="s">
        <v>37</v>
      </c>
      <c r="B3" s="24" t="s">
        <v>38</v>
      </c>
      <c r="C3" s="23">
        <v>10</v>
      </c>
      <c r="D3" s="23">
        <v>160</v>
      </c>
      <c r="E3" s="25">
        <f t="shared" ref="E3:E66" si="0">D3/0.62</f>
        <v>258.06451612903226</v>
      </c>
      <c r="F3" s="23">
        <v>270</v>
      </c>
      <c r="G3" s="25">
        <f t="shared" ref="G3:G66" si="1">F3/0.62</f>
        <v>435.48387096774195</v>
      </c>
      <c r="H3" s="23">
        <v>167</v>
      </c>
      <c r="I3" s="25">
        <f t="shared" ref="I3:I66" si="2">H3/0.62</f>
        <v>269.35483870967744</v>
      </c>
      <c r="J3" s="23">
        <v>250</v>
      </c>
      <c r="K3" s="25">
        <f t="shared" ref="K3:K66" si="3">J3/0.62</f>
        <v>403.22580645161293</v>
      </c>
      <c r="L3" s="23" t="s">
        <v>33</v>
      </c>
      <c r="M3" s="23" t="s">
        <v>39</v>
      </c>
      <c r="N3" s="23" t="s">
        <v>35</v>
      </c>
      <c r="O3" s="23" t="s">
        <v>40</v>
      </c>
      <c r="P3" s="23" t="s">
        <v>41</v>
      </c>
      <c r="Q3" s="26">
        <v>5</v>
      </c>
      <c r="R3" s="27">
        <v>30000</v>
      </c>
      <c r="S3" s="28">
        <f t="shared" ref="S3:S66" si="4">R3*1.09</f>
        <v>32700.000000000004</v>
      </c>
      <c r="T3" s="17">
        <v>20440</v>
      </c>
      <c r="U3" s="38">
        <v>45.790322580645167</v>
      </c>
      <c r="V3" s="29">
        <v>0.17</v>
      </c>
      <c r="W3" s="17" t="str">
        <f>IF(AND($Q3=Output!$A$3, $O3=Output!$B$3, $S3&lt;=Output!$C$3, $G3&gt;=Output!$D$3), "T", "F")</f>
        <v>F</v>
      </c>
    </row>
    <row r="4" spans="1:26" ht="14.25" customHeight="1" x14ac:dyDescent="0.3">
      <c r="A4" s="23" t="s">
        <v>42</v>
      </c>
      <c r="B4" s="24">
        <v>2</v>
      </c>
      <c r="C4" s="23">
        <v>4.7</v>
      </c>
      <c r="D4" s="23">
        <v>210</v>
      </c>
      <c r="E4" s="25">
        <f t="shared" si="0"/>
        <v>338.70967741935482</v>
      </c>
      <c r="F4" s="23">
        <v>400</v>
      </c>
      <c r="G4" s="25">
        <f t="shared" si="1"/>
        <v>645.16129032258061</v>
      </c>
      <c r="H4" s="23">
        <v>181</v>
      </c>
      <c r="I4" s="25">
        <f t="shared" si="2"/>
        <v>291.93548387096774</v>
      </c>
      <c r="J4" s="23">
        <v>620</v>
      </c>
      <c r="K4" s="25">
        <f t="shared" si="3"/>
        <v>1000</v>
      </c>
      <c r="L4" s="23" t="s">
        <v>33</v>
      </c>
      <c r="M4" s="23" t="s">
        <v>34</v>
      </c>
      <c r="N4" s="23" t="s">
        <v>35</v>
      </c>
      <c r="O4" s="23" t="s">
        <v>9</v>
      </c>
      <c r="P4" s="23" t="s">
        <v>36</v>
      </c>
      <c r="Q4" s="26">
        <v>5</v>
      </c>
      <c r="R4" s="27">
        <v>56440</v>
      </c>
      <c r="S4" s="28">
        <f t="shared" si="4"/>
        <v>61519.600000000006</v>
      </c>
      <c r="T4" s="17">
        <v>20440</v>
      </c>
      <c r="U4" s="38">
        <v>49.62903225806452</v>
      </c>
      <c r="V4" s="29">
        <v>0.17</v>
      </c>
      <c r="W4" s="17" t="str">
        <f>IF(AND($Q4=Output!$A$3, $O4=Output!$B$3, $S4&lt;=Output!$C$3, $G4&gt;=Output!$D$3), "T", "F")</f>
        <v>F</v>
      </c>
    </row>
    <row r="5" spans="1:26" ht="14.25" customHeight="1" x14ac:dyDescent="0.3">
      <c r="A5" s="23" t="s">
        <v>43</v>
      </c>
      <c r="B5" s="24" t="s">
        <v>44</v>
      </c>
      <c r="C5" s="23">
        <v>6.8</v>
      </c>
      <c r="D5" s="23">
        <v>180</v>
      </c>
      <c r="E5" s="25">
        <f t="shared" si="0"/>
        <v>290.32258064516128</v>
      </c>
      <c r="F5" s="23">
        <v>360</v>
      </c>
      <c r="G5" s="25">
        <f t="shared" si="1"/>
        <v>580.64516129032256</v>
      </c>
      <c r="H5" s="23">
        <v>206</v>
      </c>
      <c r="I5" s="25">
        <f t="shared" si="2"/>
        <v>332.25806451612902</v>
      </c>
      <c r="J5" s="23">
        <v>560</v>
      </c>
      <c r="K5" s="25">
        <f t="shared" si="3"/>
        <v>903.22580645161293</v>
      </c>
      <c r="L5" s="23" t="s">
        <v>33</v>
      </c>
      <c r="M5" s="23" t="s">
        <v>39</v>
      </c>
      <c r="N5" s="23" t="s">
        <v>35</v>
      </c>
      <c r="O5" s="23" t="s">
        <v>45</v>
      </c>
      <c r="P5" s="23" t="s">
        <v>36</v>
      </c>
      <c r="Q5" s="26">
        <v>5</v>
      </c>
      <c r="R5" s="27">
        <v>68040</v>
      </c>
      <c r="S5" s="28">
        <f t="shared" si="4"/>
        <v>74163.600000000006</v>
      </c>
      <c r="T5" s="17">
        <v>20440</v>
      </c>
      <c r="U5" s="38">
        <v>56.483870967741936</v>
      </c>
      <c r="V5" s="29">
        <v>0.17</v>
      </c>
      <c r="W5" s="17" t="str">
        <f>IF(AND($Q5=Output!$A$3, $O5=Output!$B$3, $S5&lt;=Output!$C$3, $G5&gt;=Output!$D$3), "T", "F")</f>
        <v>F</v>
      </c>
    </row>
    <row r="6" spans="1:26" s="17" customFormat="1" ht="14.25" customHeight="1" x14ac:dyDescent="0.3">
      <c r="A6" s="23" t="s">
        <v>46</v>
      </c>
      <c r="B6" s="24" t="s">
        <v>47</v>
      </c>
      <c r="C6" s="23">
        <v>9.5</v>
      </c>
      <c r="D6" s="23">
        <v>145</v>
      </c>
      <c r="E6" s="25">
        <f t="shared" si="0"/>
        <v>233.87096774193549</v>
      </c>
      <c r="F6" s="23">
        <v>170</v>
      </c>
      <c r="G6" s="25">
        <f t="shared" si="1"/>
        <v>274.19354838709677</v>
      </c>
      <c r="H6" s="23">
        <v>168</v>
      </c>
      <c r="I6" s="25">
        <f t="shared" si="2"/>
        <v>270.9677419354839</v>
      </c>
      <c r="J6" s="23">
        <v>190</v>
      </c>
      <c r="K6" s="25">
        <f t="shared" si="3"/>
        <v>306.45161290322579</v>
      </c>
      <c r="L6" s="23" t="s">
        <v>33</v>
      </c>
      <c r="M6" s="23" t="s">
        <v>39</v>
      </c>
      <c r="N6" s="23" t="s">
        <v>35</v>
      </c>
      <c r="O6" s="23" t="s">
        <v>40</v>
      </c>
      <c r="P6" s="23" t="s">
        <v>48</v>
      </c>
      <c r="Q6" s="26">
        <v>4</v>
      </c>
      <c r="R6" s="27">
        <v>32997</v>
      </c>
      <c r="S6" s="28">
        <f t="shared" si="4"/>
        <v>35966.730000000003</v>
      </c>
      <c r="T6" s="17">
        <v>20440</v>
      </c>
      <c r="U6" s="38">
        <v>46.064516129032263</v>
      </c>
      <c r="V6" s="29">
        <v>0.17</v>
      </c>
      <c r="W6" s="17" t="str">
        <f>IF(AND($Q6=Output!$A$3, $O6=Output!$B$3, $S6&lt;=Output!$C$3, $G6&gt;=Output!$D$3), "T", "F")</f>
        <v>F</v>
      </c>
    </row>
    <row r="7" spans="1:26" ht="14.25" customHeight="1" x14ac:dyDescent="0.3">
      <c r="A7" s="23" t="s">
        <v>114</v>
      </c>
      <c r="B7" s="24" t="s">
        <v>115</v>
      </c>
      <c r="C7" s="23">
        <v>2.8</v>
      </c>
      <c r="D7" s="23">
        <v>250</v>
      </c>
      <c r="E7" s="25">
        <f t="shared" si="0"/>
        <v>403.22580645161293</v>
      </c>
      <c r="F7" s="23">
        <v>610</v>
      </c>
      <c r="G7" s="25">
        <f t="shared" si="1"/>
        <v>983.87096774193549</v>
      </c>
      <c r="H7" s="23">
        <v>180</v>
      </c>
      <c r="I7" s="25">
        <f t="shared" si="2"/>
        <v>290.32258064516128</v>
      </c>
      <c r="J7" s="23">
        <v>620</v>
      </c>
      <c r="K7" s="25">
        <f t="shared" si="3"/>
        <v>1000</v>
      </c>
      <c r="L7" s="23" t="s">
        <v>33</v>
      </c>
      <c r="M7" s="23" t="s">
        <v>34</v>
      </c>
      <c r="N7" s="23" t="s">
        <v>35</v>
      </c>
      <c r="O7" s="23" t="s">
        <v>6</v>
      </c>
      <c r="P7" s="23" t="s">
        <v>49</v>
      </c>
      <c r="Q7" s="26">
        <v>5</v>
      </c>
      <c r="R7" s="27">
        <v>105000</v>
      </c>
      <c r="S7" s="28">
        <f t="shared" si="4"/>
        <v>114450.00000000001</v>
      </c>
      <c r="T7" s="17">
        <v>20440</v>
      </c>
      <c r="U7" s="38">
        <v>49.354838709677423</v>
      </c>
      <c r="V7" s="29">
        <v>0.17</v>
      </c>
      <c r="W7" s="17" t="str">
        <f>IF(AND($Q7=Output!$A$3, $O7=Output!$B$3, $S7&lt;=Output!$C$3, $G7&gt;=Output!$D$3), "T", "F")</f>
        <v>F</v>
      </c>
    </row>
    <row r="8" spans="1:26" ht="14.25" customHeight="1" x14ac:dyDescent="0.3">
      <c r="A8" s="23" t="s">
        <v>37</v>
      </c>
      <c r="B8" s="24" t="s">
        <v>116</v>
      </c>
      <c r="C8" s="23">
        <v>9.6</v>
      </c>
      <c r="D8" s="23">
        <v>150</v>
      </c>
      <c r="E8" s="25">
        <f t="shared" si="0"/>
        <v>241.93548387096774</v>
      </c>
      <c r="F8" s="23">
        <v>190</v>
      </c>
      <c r="G8" s="25">
        <f t="shared" si="1"/>
        <v>306.45161290322579</v>
      </c>
      <c r="H8" s="23">
        <v>168</v>
      </c>
      <c r="I8" s="25">
        <f t="shared" si="2"/>
        <v>270.9677419354839</v>
      </c>
      <c r="J8" s="23">
        <v>220</v>
      </c>
      <c r="K8" s="25">
        <f t="shared" si="3"/>
        <v>354.83870967741933</v>
      </c>
      <c r="L8" s="23" t="s">
        <v>33</v>
      </c>
      <c r="M8" s="23" t="s">
        <v>50</v>
      </c>
      <c r="N8" s="23" t="s">
        <v>35</v>
      </c>
      <c r="O8" s="23" t="s">
        <v>40</v>
      </c>
      <c r="P8" s="23" t="s">
        <v>41</v>
      </c>
      <c r="Q8" s="26">
        <v>5</v>
      </c>
      <c r="R8" s="27">
        <v>31900</v>
      </c>
      <c r="S8" s="28">
        <f t="shared" si="4"/>
        <v>34771</v>
      </c>
      <c r="T8" s="17">
        <v>20440</v>
      </c>
      <c r="U8" s="38">
        <v>46.064516129032263</v>
      </c>
      <c r="V8" s="29">
        <v>0.17</v>
      </c>
      <c r="W8" s="17" t="str">
        <f>IF(AND($Q8=Output!$A$3, $O8=Output!$B$3, $S8&lt;=Output!$C$3, $G8&gt;=Output!$D$3), "T", "F")</f>
        <v>F</v>
      </c>
    </row>
    <row r="9" spans="1:26" ht="14.25" customHeight="1" x14ac:dyDescent="0.3">
      <c r="A9" s="23" t="s">
        <v>117</v>
      </c>
      <c r="B9" s="24" t="s">
        <v>118</v>
      </c>
      <c r="C9" s="23">
        <v>8.1</v>
      </c>
      <c r="D9" s="23">
        <v>150</v>
      </c>
      <c r="E9" s="25">
        <f t="shared" si="0"/>
        <v>241.93548387096774</v>
      </c>
      <c r="F9" s="23">
        <v>275</v>
      </c>
      <c r="G9" s="25">
        <f t="shared" si="1"/>
        <v>443.54838709677421</v>
      </c>
      <c r="H9" s="23">
        <v>164</v>
      </c>
      <c r="I9" s="25">
        <f t="shared" si="2"/>
        <v>264.51612903225805</v>
      </c>
      <c r="J9" s="23">
        <v>420</v>
      </c>
      <c r="K9" s="25">
        <f t="shared" si="3"/>
        <v>677.41935483870964</v>
      </c>
      <c r="L9" s="23" t="s">
        <v>33</v>
      </c>
      <c r="M9" s="23" t="s">
        <v>50</v>
      </c>
      <c r="N9" s="23" t="s">
        <v>35</v>
      </c>
      <c r="O9" s="23" t="s">
        <v>40</v>
      </c>
      <c r="P9" s="23" t="s">
        <v>48</v>
      </c>
      <c r="Q9" s="26">
        <v>5</v>
      </c>
      <c r="R9" s="27">
        <v>29682</v>
      </c>
      <c r="S9" s="28">
        <f t="shared" si="4"/>
        <v>32353.38</v>
      </c>
      <c r="T9" s="17">
        <v>20440</v>
      </c>
      <c r="U9" s="38">
        <v>44.967741935483872</v>
      </c>
      <c r="V9" s="29">
        <v>0.17</v>
      </c>
      <c r="W9" s="17" t="str">
        <f>IF(AND($Q9=Output!$A$3, $O9=Output!$B$3, $S9&lt;=Output!$C$3, $G9&gt;=Output!$D$3), "T", "F")</f>
        <v>F</v>
      </c>
    </row>
    <row r="10" spans="1:26" ht="14.25" customHeight="1" x14ac:dyDescent="0.3">
      <c r="A10" s="23" t="s">
        <v>31</v>
      </c>
      <c r="B10" s="24" t="s">
        <v>51</v>
      </c>
      <c r="C10" s="23">
        <v>5.6</v>
      </c>
      <c r="D10" s="23">
        <v>225</v>
      </c>
      <c r="E10" s="25">
        <f t="shared" si="0"/>
        <v>362.90322580645159</v>
      </c>
      <c r="F10" s="23">
        <v>310</v>
      </c>
      <c r="G10" s="25">
        <f t="shared" si="1"/>
        <v>500</v>
      </c>
      <c r="H10" s="23">
        <v>153</v>
      </c>
      <c r="I10" s="25">
        <f t="shared" si="2"/>
        <v>246.7741935483871</v>
      </c>
      <c r="J10" s="23">
        <v>650</v>
      </c>
      <c r="K10" s="25">
        <f t="shared" si="3"/>
        <v>1048.3870967741937</v>
      </c>
      <c r="L10" s="23" t="s">
        <v>33</v>
      </c>
      <c r="M10" s="23" t="s">
        <v>39</v>
      </c>
      <c r="N10" s="23" t="s">
        <v>35</v>
      </c>
      <c r="O10" s="23" t="s">
        <v>6</v>
      </c>
      <c r="P10" s="23" t="s">
        <v>36</v>
      </c>
      <c r="Q10" s="26">
        <v>5</v>
      </c>
      <c r="R10" s="27">
        <v>46380</v>
      </c>
      <c r="S10" s="28">
        <f t="shared" si="4"/>
        <v>50554.200000000004</v>
      </c>
      <c r="T10" s="17">
        <v>20440</v>
      </c>
      <c r="U10" s="38">
        <v>41.951612903225808</v>
      </c>
      <c r="V10" s="29">
        <v>0.17</v>
      </c>
      <c r="W10" s="17" t="str">
        <f>IF(AND($Q10=Output!$A$3, $O10=Output!$B$3, $S10&lt;=Output!$C$3, $G10&gt;=Output!$D$3), "T", "F")</f>
        <v>F</v>
      </c>
    </row>
    <row r="11" spans="1:26" ht="14.25" customHeight="1" x14ac:dyDescent="0.3">
      <c r="A11" s="23" t="s">
        <v>52</v>
      </c>
      <c r="B11" s="24" t="s">
        <v>119</v>
      </c>
      <c r="C11" s="23">
        <v>6.3</v>
      </c>
      <c r="D11" s="23">
        <v>180</v>
      </c>
      <c r="E11" s="25">
        <f t="shared" si="0"/>
        <v>290.32258064516128</v>
      </c>
      <c r="F11" s="23">
        <v>400</v>
      </c>
      <c r="G11" s="25">
        <f t="shared" si="1"/>
        <v>645.16129032258061</v>
      </c>
      <c r="H11" s="23">
        <v>193</v>
      </c>
      <c r="I11" s="25">
        <f t="shared" si="2"/>
        <v>311.29032258064518</v>
      </c>
      <c r="J11" s="23">
        <v>540</v>
      </c>
      <c r="K11" s="25">
        <f t="shared" si="3"/>
        <v>870.9677419354839</v>
      </c>
      <c r="L11" s="23" t="s">
        <v>33</v>
      </c>
      <c r="M11" s="23" t="s">
        <v>34</v>
      </c>
      <c r="N11" s="23" t="s">
        <v>35</v>
      </c>
      <c r="O11" s="23" t="s">
        <v>53</v>
      </c>
      <c r="P11" s="23" t="s">
        <v>36</v>
      </c>
      <c r="Q11" s="26">
        <v>5</v>
      </c>
      <c r="R11" s="27">
        <v>55000</v>
      </c>
      <c r="S11" s="28">
        <f t="shared" si="4"/>
        <v>59950.000000000007</v>
      </c>
      <c r="T11" s="17">
        <v>20440</v>
      </c>
      <c r="U11" s="38">
        <v>52.919354838709687</v>
      </c>
      <c r="V11" s="29">
        <v>0.17</v>
      </c>
      <c r="W11" s="17" t="str">
        <f>IF(AND($Q11=Output!$A$3, $O11=Output!$B$3, $S11&lt;=Output!$C$3, $G11&gt;=Output!$D$3), "T", "F")</f>
        <v>F</v>
      </c>
    </row>
    <row r="12" spans="1:26" ht="14.25" customHeight="1" x14ac:dyDescent="0.3">
      <c r="A12" s="23" t="s">
        <v>54</v>
      </c>
      <c r="B12" s="24" t="s">
        <v>120</v>
      </c>
      <c r="C12" s="23">
        <v>5.0999999999999996</v>
      </c>
      <c r="D12" s="23">
        <v>180</v>
      </c>
      <c r="E12" s="25">
        <f t="shared" si="0"/>
        <v>290.32258064516128</v>
      </c>
      <c r="F12" s="23">
        <v>370</v>
      </c>
      <c r="G12" s="25">
        <f t="shared" si="1"/>
        <v>596.77419354838707</v>
      </c>
      <c r="H12" s="23">
        <v>216</v>
      </c>
      <c r="I12" s="25">
        <f t="shared" si="2"/>
        <v>348.38709677419354</v>
      </c>
      <c r="J12" s="23">
        <v>440</v>
      </c>
      <c r="K12" s="25">
        <f t="shared" si="3"/>
        <v>709.67741935483866</v>
      </c>
      <c r="L12" s="23" t="s">
        <v>33</v>
      </c>
      <c r="M12" s="23" t="s">
        <v>34</v>
      </c>
      <c r="N12" s="23" t="s">
        <v>35</v>
      </c>
      <c r="O12" s="23" t="s">
        <v>45</v>
      </c>
      <c r="P12" s="23" t="s">
        <v>36</v>
      </c>
      <c r="Q12" s="26">
        <v>5</v>
      </c>
      <c r="R12" s="27">
        <v>69484</v>
      </c>
      <c r="S12" s="28">
        <f t="shared" si="4"/>
        <v>75737.560000000012</v>
      </c>
      <c r="T12" s="17">
        <v>20440</v>
      </c>
      <c r="U12" s="38">
        <v>59.225806451612904</v>
      </c>
      <c r="V12" s="29">
        <v>0.17</v>
      </c>
      <c r="W12" s="17" t="str">
        <f>IF(AND($Q12=Output!$A$3, $O12=Output!$B$3, $S12&lt;=Output!$C$3, $G12&gt;=Output!$D$3), "T", "F")</f>
        <v>F</v>
      </c>
    </row>
    <row r="13" spans="1:26" ht="14.25" customHeight="1" x14ac:dyDescent="0.3">
      <c r="A13" s="23" t="s">
        <v>55</v>
      </c>
      <c r="B13" s="24" t="s">
        <v>121</v>
      </c>
      <c r="C13" s="23">
        <v>7.9</v>
      </c>
      <c r="D13" s="23">
        <v>144</v>
      </c>
      <c r="E13" s="25">
        <f t="shared" si="0"/>
        <v>232.25806451612902</v>
      </c>
      <c r="F13" s="23">
        <v>220</v>
      </c>
      <c r="G13" s="25">
        <f t="shared" si="1"/>
        <v>354.83870967741933</v>
      </c>
      <c r="H13" s="23">
        <v>164</v>
      </c>
      <c r="I13" s="25">
        <f t="shared" si="2"/>
        <v>264.51612903225805</v>
      </c>
      <c r="J13" s="23">
        <v>230</v>
      </c>
      <c r="K13" s="25">
        <f t="shared" si="3"/>
        <v>370.9677419354839</v>
      </c>
      <c r="L13" s="23" t="s">
        <v>33</v>
      </c>
      <c r="M13" s="23" t="s">
        <v>50</v>
      </c>
      <c r="N13" s="23" t="s">
        <v>56</v>
      </c>
      <c r="O13" s="23" t="s">
        <v>40</v>
      </c>
      <c r="P13" s="23" t="s">
        <v>41</v>
      </c>
      <c r="Q13" s="26">
        <v>5</v>
      </c>
      <c r="R13" s="27">
        <v>29234</v>
      </c>
      <c r="S13" s="28">
        <f t="shared" si="4"/>
        <v>31865.06</v>
      </c>
      <c r="T13" s="17">
        <v>20440</v>
      </c>
      <c r="U13" s="38">
        <v>44.967741935483872</v>
      </c>
      <c r="V13" s="29">
        <v>0.17</v>
      </c>
      <c r="W13" s="17" t="str">
        <f>IF(AND($Q13=Output!$A$3, $O13=Output!$B$3, $S13&lt;=Output!$C$3, $G13&gt;=Output!$D$3), "T", "F")</f>
        <v>F</v>
      </c>
    </row>
    <row r="14" spans="1:26" ht="14.25" customHeight="1" x14ac:dyDescent="0.3">
      <c r="A14" s="23" t="s">
        <v>57</v>
      </c>
      <c r="B14" s="24" t="s">
        <v>58</v>
      </c>
      <c r="C14" s="23">
        <v>7.9</v>
      </c>
      <c r="D14" s="23">
        <v>167</v>
      </c>
      <c r="E14" s="25">
        <f t="shared" si="0"/>
        <v>269.35483870967744</v>
      </c>
      <c r="F14" s="23">
        <v>400</v>
      </c>
      <c r="G14" s="25">
        <f t="shared" si="1"/>
        <v>645.16129032258061</v>
      </c>
      <c r="H14" s="23">
        <v>160</v>
      </c>
      <c r="I14" s="25">
        <f t="shared" si="2"/>
        <v>258.06451612903226</v>
      </c>
      <c r="J14" s="23">
        <v>380</v>
      </c>
      <c r="K14" s="25">
        <f t="shared" si="3"/>
        <v>612.90322580645159</v>
      </c>
      <c r="L14" s="23" t="s">
        <v>33</v>
      </c>
      <c r="M14" s="23" t="s">
        <v>50</v>
      </c>
      <c r="N14" s="23" t="s">
        <v>35</v>
      </c>
      <c r="O14" s="23" t="s">
        <v>45</v>
      </c>
      <c r="P14" s="23" t="s">
        <v>48</v>
      </c>
      <c r="Q14" s="26">
        <v>5</v>
      </c>
      <c r="R14" s="27">
        <v>40795</v>
      </c>
      <c r="S14" s="28">
        <f t="shared" si="4"/>
        <v>44466.55</v>
      </c>
      <c r="T14" s="17">
        <v>20440</v>
      </c>
      <c r="U14" s="38">
        <v>43.870967741935488</v>
      </c>
      <c r="V14" s="29">
        <v>0.17</v>
      </c>
      <c r="W14" s="17" t="str">
        <f>IF(AND($Q14=Output!$A$3, $O14=Output!$B$3, $S14&lt;=Output!$C$3, $G14&gt;=Output!$D$3), "T", "F")</f>
        <v>F</v>
      </c>
    </row>
    <row r="15" spans="1:26" ht="14.25" customHeight="1" x14ac:dyDescent="0.3">
      <c r="A15" s="23" t="s">
        <v>43</v>
      </c>
      <c r="B15" s="24" t="s">
        <v>122</v>
      </c>
      <c r="C15" s="23">
        <v>4</v>
      </c>
      <c r="D15" s="23">
        <v>200</v>
      </c>
      <c r="E15" s="25">
        <f t="shared" si="0"/>
        <v>322.58064516129031</v>
      </c>
      <c r="F15" s="23">
        <v>450</v>
      </c>
      <c r="G15" s="25">
        <f t="shared" si="1"/>
        <v>725.80645161290317</v>
      </c>
      <c r="H15" s="23">
        <v>178</v>
      </c>
      <c r="I15" s="25">
        <f t="shared" si="2"/>
        <v>287.09677419354841</v>
      </c>
      <c r="J15" s="23">
        <v>650</v>
      </c>
      <c r="K15" s="25">
        <f t="shared" si="3"/>
        <v>1048.3870967741937</v>
      </c>
      <c r="L15" s="23" t="s">
        <v>33</v>
      </c>
      <c r="M15" s="23" t="s">
        <v>39</v>
      </c>
      <c r="N15" s="23" t="s">
        <v>35</v>
      </c>
      <c r="O15" s="23" t="s">
        <v>6</v>
      </c>
      <c r="P15" s="23" t="s">
        <v>36</v>
      </c>
      <c r="Q15" s="26">
        <v>5</v>
      </c>
      <c r="R15" s="27">
        <v>65000</v>
      </c>
      <c r="S15" s="28">
        <f t="shared" si="4"/>
        <v>70850</v>
      </c>
      <c r="T15" s="17">
        <v>20440</v>
      </c>
      <c r="U15" s="38">
        <v>48.806451612903231</v>
      </c>
      <c r="V15" s="29">
        <v>0.17</v>
      </c>
      <c r="W15" s="17" t="str">
        <f>IF(AND($Q15=Output!$A$3, $O15=Output!$B$3, $S15&lt;=Output!$C$3, $G15&gt;=Output!$D$3), "T", "F")</f>
        <v>F</v>
      </c>
    </row>
    <row r="16" spans="1:26" ht="14.25" customHeight="1" x14ac:dyDescent="0.3">
      <c r="A16" s="23" t="s">
        <v>57</v>
      </c>
      <c r="B16" s="24" t="s">
        <v>123</v>
      </c>
      <c r="C16" s="23">
        <v>9.6999999999999993</v>
      </c>
      <c r="D16" s="23">
        <v>165</v>
      </c>
      <c r="E16" s="25">
        <f t="shared" si="0"/>
        <v>266.12903225806451</v>
      </c>
      <c r="F16" s="23">
        <v>250</v>
      </c>
      <c r="G16" s="25">
        <f t="shared" si="1"/>
        <v>403.22580645161293</v>
      </c>
      <c r="H16" s="23">
        <v>153</v>
      </c>
      <c r="I16" s="25">
        <f t="shared" si="2"/>
        <v>246.7741935483871</v>
      </c>
      <c r="J16" s="23">
        <v>210</v>
      </c>
      <c r="K16" s="25">
        <f t="shared" si="3"/>
        <v>338.70967741935482</v>
      </c>
      <c r="L16" s="23" t="s">
        <v>33</v>
      </c>
      <c r="M16" s="23" t="s">
        <v>50</v>
      </c>
      <c r="N16" s="23" t="s">
        <v>35</v>
      </c>
      <c r="O16" s="23" t="s">
        <v>9</v>
      </c>
      <c r="P16" s="23" t="s">
        <v>41</v>
      </c>
      <c r="Q16" s="26">
        <v>5</v>
      </c>
      <c r="R16" s="27">
        <v>34459</v>
      </c>
      <c r="S16" s="28">
        <f t="shared" si="4"/>
        <v>37560.310000000005</v>
      </c>
      <c r="T16" s="17">
        <v>20440</v>
      </c>
      <c r="U16" s="38">
        <v>41.951612903225808</v>
      </c>
      <c r="V16" s="29">
        <v>0.17</v>
      </c>
      <c r="W16" s="17" t="str">
        <f>IF(AND($Q16=Output!$A$3, $O16=Output!$B$3, $S16&lt;=Output!$C$3, $G16&gt;=Output!$D$3), "T", "F")</f>
        <v>F</v>
      </c>
    </row>
    <row r="17" spans="1:23" ht="14.25" customHeight="1" x14ac:dyDescent="0.3">
      <c r="A17" s="23" t="s">
        <v>37</v>
      </c>
      <c r="B17" s="24" t="s">
        <v>124</v>
      </c>
      <c r="C17" s="23">
        <v>7.9</v>
      </c>
      <c r="D17" s="23">
        <v>160</v>
      </c>
      <c r="E17" s="25">
        <f t="shared" si="0"/>
        <v>258.06451612903226</v>
      </c>
      <c r="F17" s="23">
        <v>440</v>
      </c>
      <c r="G17" s="25">
        <f t="shared" si="1"/>
        <v>709.67741935483866</v>
      </c>
      <c r="H17" s="23">
        <v>175</v>
      </c>
      <c r="I17" s="25">
        <f t="shared" si="2"/>
        <v>282.25806451612902</v>
      </c>
      <c r="J17" s="23">
        <v>590</v>
      </c>
      <c r="K17" s="25">
        <f t="shared" si="3"/>
        <v>951.61290322580646</v>
      </c>
      <c r="L17" s="23" t="s">
        <v>33</v>
      </c>
      <c r="M17" s="23" t="s">
        <v>39</v>
      </c>
      <c r="N17" s="23" t="s">
        <v>35</v>
      </c>
      <c r="O17" s="23" t="s">
        <v>40</v>
      </c>
      <c r="P17" s="23" t="s">
        <v>41</v>
      </c>
      <c r="Q17" s="26">
        <v>4</v>
      </c>
      <c r="R17" s="27">
        <v>40936</v>
      </c>
      <c r="S17" s="28">
        <f t="shared" si="4"/>
        <v>44620.240000000005</v>
      </c>
      <c r="T17" s="17">
        <v>20440</v>
      </c>
      <c r="U17" s="38">
        <v>47.983870967741936</v>
      </c>
      <c r="V17" s="29">
        <v>0.17</v>
      </c>
      <c r="W17" s="17" t="str">
        <f>IF(AND($Q17=Output!$A$3, $O17=Output!$B$3, $S17&lt;=Output!$C$3, $G17&gt;=Output!$D$3), "T", "F")</f>
        <v>F</v>
      </c>
    </row>
    <row r="18" spans="1:23" ht="14.25" customHeight="1" x14ac:dyDescent="0.3">
      <c r="A18" s="23" t="s">
        <v>59</v>
      </c>
      <c r="B18" s="24" t="s">
        <v>60</v>
      </c>
      <c r="C18" s="23">
        <v>2.8</v>
      </c>
      <c r="D18" s="23">
        <v>260</v>
      </c>
      <c r="E18" s="25">
        <f t="shared" si="0"/>
        <v>419.35483870967744</v>
      </c>
      <c r="F18" s="23">
        <v>375</v>
      </c>
      <c r="G18" s="25">
        <f t="shared" si="1"/>
        <v>604.83870967741939</v>
      </c>
      <c r="H18" s="23">
        <v>223</v>
      </c>
      <c r="I18" s="25">
        <f t="shared" si="2"/>
        <v>359.67741935483872</v>
      </c>
      <c r="J18" s="23">
        <v>780</v>
      </c>
      <c r="K18" s="25">
        <f t="shared" si="3"/>
        <v>1258.0645161290322</v>
      </c>
      <c r="L18" s="23" t="s">
        <v>33</v>
      </c>
      <c r="M18" s="23" t="s">
        <v>34</v>
      </c>
      <c r="N18" s="23" t="s">
        <v>35</v>
      </c>
      <c r="O18" s="23" t="s">
        <v>6</v>
      </c>
      <c r="P18" s="23" t="s">
        <v>49</v>
      </c>
      <c r="Q18" s="26">
        <v>4</v>
      </c>
      <c r="R18" s="27">
        <v>180781</v>
      </c>
      <c r="S18" s="28">
        <f t="shared" si="4"/>
        <v>197051.29</v>
      </c>
      <c r="T18" s="17">
        <v>20440</v>
      </c>
      <c r="U18" s="38">
        <v>61.145161290322584</v>
      </c>
      <c r="V18" s="29">
        <v>0.17</v>
      </c>
      <c r="W18" s="17" t="str">
        <f>IF(AND($Q18=Output!$A$3, $O18=Output!$B$3, $S18&lt;=Output!$C$3, $G18&gt;=Output!$D$3), "T", "F")</f>
        <v>F</v>
      </c>
    </row>
    <row r="19" spans="1:23" ht="14.25" customHeight="1" x14ac:dyDescent="0.3">
      <c r="A19" s="23" t="s">
        <v>37</v>
      </c>
      <c r="B19" s="24" t="s">
        <v>125</v>
      </c>
      <c r="C19" s="23">
        <v>11.9</v>
      </c>
      <c r="D19" s="23">
        <v>130</v>
      </c>
      <c r="E19" s="25">
        <f t="shared" si="0"/>
        <v>209.67741935483872</v>
      </c>
      <c r="F19" s="23">
        <v>195</v>
      </c>
      <c r="G19" s="25">
        <f t="shared" si="1"/>
        <v>314.51612903225805</v>
      </c>
      <c r="H19" s="23">
        <v>166</v>
      </c>
      <c r="I19" s="25">
        <f t="shared" si="2"/>
        <v>267.74193548387098</v>
      </c>
      <c r="J19" s="23">
        <v>170</v>
      </c>
      <c r="K19" s="25">
        <f t="shared" si="3"/>
        <v>274.19354838709677</v>
      </c>
      <c r="L19" s="23" t="s">
        <v>33</v>
      </c>
      <c r="M19" s="23" t="s">
        <v>50</v>
      </c>
      <c r="N19" s="23" t="s">
        <v>35</v>
      </c>
      <c r="O19" s="23" t="s">
        <v>40</v>
      </c>
      <c r="P19" s="23" t="s">
        <v>61</v>
      </c>
      <c r="Q19" s="26">
        <v>4</v>
      </c>
      <c r="R19" s="27">
        <v>21421</v>
      </c>
      <c r="S19" s="28">
        <f t="shared" si="4"/>
        <v>23348.890000000003</v>
      </c>
      <c r="T19" s="17">
        <v>20440</v>
      </c>
      <c r="U19" s="38">
        <v>45.516129032258071</v>
      </c>
      <c r="V19" s="29">
        <v>0.17</v>
      </c>
      <c r="W19" s="17" t="str">
        <f>IF(AND($Q19=Output!$A$3, $O19=Output!$B$3, $S19&lt;=Output!$C$3, $G19&gt;=Output!$D$3), "T", "F")</f>
        <v>F</v>
      </c>
    </row>
    <row r="20" spans="1:23" ht="14.25" customHeight="1" x14ac:dyDescent="0.3">
      <c r="A20" s="23" t="s">
        <v>126</v>
      </c>
      <c r="B20" s="24" t="s">
        <v>127</v>
      </c>
      <c r="C20" s="23">
        <v>8.1999999999999993</v>
      </c>
      <c r="D20" s="23">
        <v>140</v>
      </c>
      <c r="E20" s="25">
        <f t="shared" si="0"/>
        <v>225.80645161290323</v>
      </c>
      <c r="F20" s="23">
        <v>220</v>
      </c>
      <c r="G20" s="25">
        <f t="shared" si="1"/>
        <v>354.83870967741933</v>
      </c>
      <c r="H20" s="23">
        <v>193</v>
      </c>
      <c r="I20" s="25">
        <f t="shared" si="2"/>
        <v>311.29032258064518</v>
      </c>
      <c r="J20" s="23">
        <v>260</v>
      </c>
      <c r="K20" s="25">
        <f t="shared" si="3"/>
        <v>419.35483870967744</v>
      </c>
      <c r="L20" s="23" t="s">
        <v>33</v>
      </c>
      <c r="M20" s="23" t="s">
        <v>50</v>
      </c>
      <c r="N20" s="23" t="s">
        <v>35</v>
      </c>
      <c r="O20" s="23" t="s">
        <v>45</v>
      </c>
      <c r="P20" s="23" t="s">
        <v>48</v>
      </c>
      <c r="Q20" s="26">
        <v>5</v>
      </c>
      <c r="R20" s="27">
        <v>30000</v>
      </c>
      <c r="S20" s="28">
        <f t="shared" si="4"/>
        <v>32700.000000000004</v>
      </c>
      <c r="T20" s="17">
        <v>20440</v>
      </c>
      <c r="U20" s="38">
        <v>52.919354838709687</v>
      </c>
      <c r="V20" s="29">
        <v>0.17</v>
      </c>
      <c r="W20" s="17" t="str">
        <f>IF(AND($Q20=Output!$A$3, $O20=Output!$B$3, $S20&lt;=Output!$C$3, $G20&gt;=Output!$D$3), "T", "F")</f>
        <v>F</v>
      </c>
    </row>
    <row r="21" spans="1:23" ht="14.25" customHeight="1" x14ac:dyDescent="0.3">
      <c r="A21" s="23" t="s">
        <v>128</v>
      </c>
      <c r="B21" s="24" t="s">
        <v>129</v>
      </c>
      <c r="C21" s="23">
        <v>7.3</v>
      </c>
      <c r="D21" s="23">
        <v>150</v>
      </c>
      <c r="E21" s="25">
        <f t="shared" si="0"/>
        <v>241.93548387096774</v>
      </c>
      <c r="F21" s="23">
        <v>185</v>
      </c>
      <c r="G21" s="25">
        <f t="shared" si="1"/>
        <v>298.38709677419354</v>
      </c>
      <c r="H21" s="23">
        <v>156</v>
      </c>
      <c r="I21" s="25">
        <f t="shared" si="2"/>
        <v>251.61290322580646</v>
      </c>
      <c r="J21" s="23">
        <v>260</v>
      </c>
      <c r="K21" s="25">
        <f t="shared" si="3"/>
        <v>419.35483870967744</v>
      </c>
      <c r="L21" s="23" t="s">
        <v>33</v>
      </c>
      <c r="M21" s="23" t="s">
        <v>50</v>
      </c>
      <c r="N21" s="23" t="s">
        <v>35</v>
      </c>
      <c r="O21" s="23" t="s">
        <v>40</v>
      </c>
      <c r="P21" s="23" t="s">
        <v>48</v>
      </c>
      <c r="Q21" s="26">
        <v>4</v>
      </c>
      <c r="R21" s="27">
        <v>31681</v>
      </c>
      <c r="S21" s="28">
        <f t="shared" si="4"/>
        <v>34532.29</v>
      </c>
      <c r="T21" s="17">
        <v>20440</v>
      </c>
      <c r="U21" s="38">
        <v>42.774193548387103</v>
      </c>
      <c r="V21" s="29">
        <v>0.17</v>
      </c>
      <c r="W21" s="17" t="str">
        <f>IF(AND($Q21=Output!$A$3, $O21=Output!$B$3, $S21&lt;=Output!$C$3, $G21&gt;=Output!$D$3), "T", "F")</f>
        <v>F</v>
      </c>
    </row>
    <row r="22" spans="1:23" ht="14.25" customHeight="1" x14ac:dyDescent="0.3">
      <c r="A22" s="23" t="s">
        <v>62</v>
      </c>
      <c r="B22" s="24" t="s">
        <v>63</v>
      </c>
      <c r="C22" s="23">
        <v>8.1</v>
      </c>
      <c r="D22" s="23">
        <v>150</v>
      </c>
      <c r="E22" s="25">
        <f t="shared" si="0"/>
        <v>241.93548387096774</v>
      </c>
      <c r="F22" s="23">
        <v>275</v>
      </c>
      <c r="G22" s="25">
        <f t="shared" si="1"/>
        <v>443.54838709677421</v>
      </c>
      <c r="H22" s="23">
        <v>164</v>
      </c>
      <c r="I22" s="25">
        <f t="shared" si="2"/>
        <v>264.51612903225805</v>
      </c>
      <c r="J22" s="23">
        <v>420</v>
      </c>
      <c r="K22" s="25">
        <f t="shared" si="3"/>
        <v>677.41935483870964</v>
      </c>
      <c r="L22" s="23" t="s">
        <v>33</v>
      </c>
      <c r="M22" s="23" t="s">
        <v>50</v>
      </c>
      <c r="N22" s="23" t="s">
        <v>35</v>
      </c>
      <c r="O22" s="23" t="s">
        <v>40</v>
      </c>
      <c r="P22" s="23" t="s">
        <v>48</v>
      </c>
      <c r="Q22" s="26">
        <v>5</v>
      </c>
      <c r="R22" s="27">
        <v>29146</v>
      </c>
      <c r="S22" s="28">
        <f t="shared" si="4"/>
        <v>31769.140000000003</v>
      </c>
      <c r="T22" s="17">
        <v>20440</v>
      </c>
      <c r="U22" s="38">
        <v>44.967741935483872</v>
      </c>
      <c r="V22" s="29">
        <v>0.17</v>
      </c>
      <c r="W22" s="17" t="str">
        <f>IF(AND($Q22=Output!$A$3, $O22=Output!$B$3, $S22&lt;=Output!$C$3, $G22&gt;=Output!$D$3), "T", "F")</f>
        <v>F</v>
      </c>
    </row>
    <row r="23" spans="1:23" ht="14.25" customHeight="1" x14ac:dyDescent="0.3">
      <c r="A23" s="23" t="s">
        <v>31</v>
      </c>
      <c r="B23" s="24" t="s">
        <v>130</v>
      </c>
      <c r="C23" s="23">
        <v>5.0999999999999996</v>
      </c>
      <c r="D23" s="23">
        <v>217</v>
      </c>
      <c r="E23" s="25">
        <f t="shared" si="0"/>
        <v>350</v>
      </c>
      <c r="F23" s="23">
        <v>425</v>
      </c>
      <c r="G23" s="25">
        <f t="shared" si="1"/>
        <v>685.48387096774195</v>
      </c>
      <c r="H23" s="23">
        <v>171</v>
      </c>
      <c r="I23" s="25">
        <f t="shared" si="2"/>
        <v>275.80645161290323</v>
      </c>
      <c r="J23" s="23">
        <v>930</v>
      </c>
      <c r="K23" s="25">
        <f t="shared" si="3"/>
        <v>1500</v>
      </c>
      <c r="L23" s="23" t="s">
        <v>33</v>
      </c>
      <c r="M23" s="23" t="s">
        <v>34</v>
      </c>
      <c r="N23" s="23" t="s">
        <v>35</v>
      </c>
      <c r="O23" s="23" t="s">
        <v>45</v>
      </c>
      <c r="P23" s="23" t="s">
        <v>36</v>
      </c>
      <c r="Q23" s="26">
        <v>7</v>
      </c>
      <c r="R23" s="27">
        <v>58620</v>
      </c>
      <c r="S23" s="28">
        <f t="shared" si="4"/>
        <v>63895.8</v>
      </c>
      <c r="T23" s="17">
        <v>20440</v>
      </c>
      <c r="U23" s="38">
        <v>46.887096774193552</v>
      </c>
      <c r="V23" s="29">
        <v>0.17</v>
      </c>
      <c r="W23" s="17" t="str">
        <f>IF(AND($Q23=Output!$A$3, $O23=Output!$B$3, $S23&lt;=Output!$C$3, $G23&gt;=Output!$D$3), "T", "F")</f>
        <v>F</v>
      </c>
    </row>
    <row r="24" spans="1:23" ht="14.25" customHeight="1" x14ac:dyDescent="0.3">
      <c r="A24" s="23" t="s">
        <v>64</v>
      </c>
      <c r="B24" s="24" t="s">
        <v>131</v>
      </c>
      <c r="C24" s="23">
        <v>10</v>
      </c>
      <c r="D24" s="23">
        <v>160</v>
      </c>
      <c r="E24" s="25">
        <f t="shared" si="0"/>
        <v>258.06451612903226</v>
      </c>
      <c r="F24" s="23">
        <v>290</v>
      </c>
      <c r="G24" s="25">
        <f t="shared" si="1"/>
        <v>467.74193548387098</v>
      </c>
      <c r="H24" s="23">
        <v>179</v>
      </c>
      <c r="I24" s="25">
        <f t="shared" si="2"/>
        <v>288.70967741935482</v>
      </c>
      <c r="J24" s="23">
        <v>230</v>
      </c>
      <c r="K24" s="25">
        <f t="shared" si="3"/>
        <v>370.9677419354839</v>
      </c>
      <c r="L24" s="23" t="s">
        <v>33</v>
      </c>
      <c r="M24" s="23" t="s">
        <v>39</v>
      </c>
      <c r="N24" s="23" t="s">
        <v>35</v>
      </c>
      <c r="O24" s="23" t="s">
        <v>45</v>
      </c>
      <c r="P24" s="23" t="s">
        <v>41</v>
      </c>
      <c r="Q24" s="26">
        <v>5</v>
      </c>
      <c r="R24" s="27">
        <v>35000</v>
      </c>
      <c r="S24" s="28">
        <f t="shared" si="4"/>
        <v>38150</v>
      </c>
      <c r="T24" s="17">
        <v>20440</v>
      </c>
      <c r="U24" s="38">
        <v>49.08064516129032</v>
      </c>
      <c r="V24" s="29">
        <v>0.17</v>
      </c>
      <c r="W24" s="17" t="str">
        <f>IF(AND($Q24=Output!$A$3, $O24=Output!$B$3, $S24&lt;=Output!$C$3, $G24&gt;=Output!$D$3), "T", "F")</f>
        <v>F</v>
      </c>
    </row>
    <row r="25" spans="1:23" ht="14.25" customHeight="1" x14ac:dyDescent="0.3">
      <c r="A25" s="23" t="s">
        <v>52</v>
      </c>
      <c r="B25" s="24" t="s">
        <v>132</v>
      </c>
      <c r="C25" s="23">
        <v>3.5</v>
      </c>
      <c r="D25" s="23">
        <v>240</v>
      </c>
      <c r="E25" s="25">
        <f t="shared" si="0"/>
        <v>387.09677419354841</v>
      </c>
      <c r="F25" s="23">
        <v>425</v>
      </c>
      <c r="G25" s="25">
        <f t="shared" si="1"/>
        <v>685.48387096774195</v>
      </c>
      <c r="H25" s="23">
        <v>197</v>
      </c>
      <c r="I25" s="25">
        <f t="shared" si="2"/>
        <v>317.74193548387098</v>
      </c>
      <c r="J25" s="23">
        <v>850</v>
      </c>
      <c r="K25" s="25">
        <f t="shared" si="3"/>
        <v>1370.9677419354839</v>
      </c>
      <c r="L25" s="23" t="s">
        <v>33</v>
      </c>
      <c r="M25" s="23" t="s">
        <v>34</v>
      </c>
      <c r="N25" s="23" t="s">
        <v>35</v>
      </c>
      <c r="O25" s="23" t="s">
        <v>6</v>
      </c>
      <c r="P25" s="23" t="s">
        <v>49</v>
      </c>
      <c r="Q25" s="26">
        <v>4</v>
      </c>
      <c r="R25" s="27">
        <v>125000</v>
      </c>
      <c r="S25" s="28">
        <f t="shared" si="4"/>
        <v>136250</v>
      </c>
      <c r="T25" s="17">
        <v>20440</v>
      </c>
      <c r="U25" s="38">
        <v>54.016129032258071</v>
      </c>
      <c r="V25" s="29">
        <v>0.17</v>
      </c>
      <c r="W25" s="17" t="str">
        <f>IF(AND($Q25=Output!$A$3, $O25=Output!$B$3, $S25&lt;=Output!$C$3, $G25&gt;=Output!$D$3), "T", "F")</f>
        <v>F</v>
      </c>
    </row>
    <row r="26" spans="1:23" ht="14.25" customHeight="1" x14ac:dyDescent="0.3">
      <c r="A26" s="23" t="s">
        <v>31</v>
      </c>
      <c r="B26" s="24" t="s">
        <v>65</v>
      </c>
      <c r="C26" s="23">
        <v>3.4</v>
      </c>
      <c r="D26" s="23">
        <v>261</v>
      </c>
      <c r="E26" s="25">
        <f t="shared" si="0"/>
        <v>420.9677419354839</v>
      </c>
      <c r="F26" s="23">
        <v>435</v>
      </c>
      <c r="G26" s="25">
        <f t="shared" si="1"/>
        <v>701.61290322580646</v>
      </c>
      <c r="H26" s="23">
        <v>167</v>
      </c>
      <c r="I26" s="25">
        <f t="shared" si="2"/>
        <v>269.35483870967744</v>
      </c>
      <c r="J26" s="23">
        <v>910</v>
      </c>
      <c r="K26" s="25">
        <f t="shared" si="3"/>
        <v>1467.741935483871</v>
      </c>
      <c r="L26" s="23" t="s">
        <v>33</v>
      </c>
      <c r="M26" s="23" t="s">
        <v>34</v>
      </c>
      <c r="N26" s="23" t="s">
        <v>35</v>
      </c>
      <c r="O26" s="23" t="s">
        <v>6</v>
      </c>
      <c r="P26" s="23" t="s">
        <v>36</v>
      </c>
      <c r="Q26" s="26">
        <v>5</v>
      </c>
      <c r="R26" s="27">
        <v>61480</v>
      </c>
      <c r="S26" s="28">
        <f t="shared" si="4"/>
        <v>67013.200000000012</v>
      </c>
      <c r="T26" s="17">
        <v>20440</v>
      </c>
      <c r="U26" s="38">
        <v>45.790322580645167</v>
      </c>
      <c r="V26" s="29">
        <v>0.17</v>
      </c>
      <c r="W26" s="17" t="str">
        <f>IF(AND($Q26=Output!$A$3, $O26=Output!$B$3, $S26&lt;=Output!$C$3, $G26&gt;=Output!$D$3), "T", "F")</f>
        <v>F</v>
      </c>
    </row>
    <row r="27" spans="1:23" ht="14.25" customHeight="1" x14ac:dyDescent="0.3">
      <c r="A27" s="23" t="s">
        <v>37</v>
      </c>
      <c r="B27" s="24" t="s">
        <v>133</v>
      </c>
      <c r="C27" s="23">
        <v>7.5</v>
      </c>
      <c r="D27" s="23">
        <v>160</v>
      </c>
      <c r="E27" s="25">
        <f t="shared" si="0"/>
        <v>258.06451612903226</v>
      </c>
      <c r="F27" s="23">
        <v>420</v>
      </c>
      <c r="G27" s="25">
        <f t="shared" si="1"/>
        <v>677.41935483870964</v>
      </c>
      <c r="H27" s="23">
        <v>183</v>
      </c>
      <c r="I27" s="25">
        <f t="shared" si="2"/>
        <v>295.16129032258067</v>
      </c>
      <c r="J27" s="23">
        <v>560</v>
      </c>
      <c r="K27" s="25">
        <f t="shared" si="3"/>
        <v>903.22580645161293</v>
      </c>
      <c r="L27" s="23" t="s">
        <v>33</v>
      </c>
      <c r="M27" s="23" t="s">
        <v>39</v>
      </c>
      <c r="N27" s="23" t="s">
        <v>35</v>
      </c>
      <c r="O27" s="23" t="s">
        <v>45</v>
      </c>
      <c r="P27" s="23" t="s">
        <v>41</v>
      </c>
      <c r="Q27" s="26">
        <v>5</v>
      </c>
      <c r="R27" s="27">
        <v>45000</v>
      </c>
      <c r="S27" s="28">
        <f t="shared" si="4"/>
        <v>49050</v>
      </c>
      <c r="T27" s="17">
        <v>20440</v>
      </c>
      <c r="U27" s="38">
        <v>50.177419354838719</v>
      </c>
      <c r="V27" s="29">
        <v>0.17</v>
      </c>
      <c r="W27" s="17" t="str">
        <f>IF(AND($Q27=Output!$A$3, $O27=Output!$B$3, $S27&lt;=Output!$C$3, $G27&gt;=Output!$D$3), "T", "F")</f>
        <v>F</v>
      </c>
    </row>
    <row r="28" spans="1:23" ht="14.25" customHeight="1" x14ac:dyDescent="0.3">
      <c r="A28" s="23" t="s">
        <v>37</v>
      </c>
      <c r="B28" s="24" t="s">
        <v>134</v>
      </c>
      <c r="C28" s="23">
        <v>9</v>
      </c>
      <c r="D28" s="23">
        <v>160</v>
      </c>
      <c r="E28" s="25">
        <f t="shared" si="0"/>
        <v>258.06451612903226</v>
      </c>
      <c r="F28" s="23">
        <v>350</v>
      </c>
      <c r="G28" s="25">
        <f t="shared" si="1"/>
        <v>564.51612903225805</v>
      </c>
      <c r="H28" s="23">
        <v>166</v>
      </c>
      <c r="I28" s="25">
        <f t="shared" si="2"/>
        <v>267.74193548387098</v>
      </c>
      <c r="J28" s="23">
        <v>490</v>
      </c>
      <c r="K28" s="25">
        <f t="shared" si="3"/>
        <v>790.32258064516134</v>
      </c>
      <c r="L28" s="23" t="s">
        <v>33</v>
      </c>
      <c r="M28" s="23" t="s">
        <v>39</v>
      </c>
      <c r="N28" s="23" t="s">
        <v>35</v>
      </c>
      <c r="O28" s="23" t="s">
        <v>40</v>
      </c>
      <c r="P28" s="23" t="s">
        <v>41</v>
      </c>
      <c r="Q28" s="26">
        <v>5</v>
      </c>
      <c r="R28" s="27">
        <v>33000</v>
      </c>
      <c r="S28" s="28">
        <f t="shared" si="4"/>
        <v>35970</v>
      </c>
      <c r="T28" s="17">
        <v>20440</v>
      </c>
      <c r="U28" s="38">
        <v>45.516129032258071</v>
      </c>
      <c r="V28" s="29">
        <v>0.17</v>
      </c>
      <c r="W28" s="17" t="str">
        <f>IF(AND($Q28=Output!$A$3, $O28=Output!$B$3, $S28&lt;=Output!$C$3, $G28&gt;=Output!$D$3), "T", "F")</f>
        <v>F</v>
      </c>
    </row>
    <row r="29" spans="1:23" ht="14.25" customHeight="1" x14ac:dyDescent="0.3">
      <c r="A29" s="23" t="s">
        <v>135</v>
      </c>
      <c r="B29" s="24" t="s">
        <v>136</v>
      </c>
      <c r="C29" s="23">
        <v>4.9000000000000004</v>
      </c>
      <c r="D29" s="23">
        <v>180</v>
      </c>
      <c r="E29" s="25">
        <f t="shared" si="0"/>
        <v>290.32258064516128</v>
      </c>
      <c r="F29" s="23">
        <v>375</v>
      </c>
      <c r="G29" s="25">
        <f t="shared" si="1"/>
        <v>604.83870967741939</v>
      </c>
      <c r="H29" s="23">
        <v>200</v>
      </c>
      <c r="I29" s="25">
        <f t="shared" si="2"/>
        <v>322.58064516129031</v>
      </c>
      <c r="J29" s="23">
        <v>470</v>
      </c>
      <c r="K29" s="25">
        <f t="shared" si="3"/>
        <v>758.06451612903231</v>
      </c>
      <c r="L29" s="23" t="s">
        <v>33</v>
      </c>
      <c r="M29" s="23" t="s">
        <v>34</v>
      </c>
      <c r="N29" s="23" t="s">
        <v>35</v>
      </c>
      <c r="O29" s="23" t="s">
        <v>45</v>
      </c>
      <c r="P29" s="23" t="s">
        <v>41</v>
      </c>
      <c r="Q29" s="26">
        <v>5</v>
      </c>
      <c r="R29" s="27">
        <v>60437</v>
      </c>
      <c r="S29" s="28">
        <f t="shared" si="4"/>
        <v>65876.33</v>
      </c>
      <c r="T29" s="17">
        <v>20440</v>
      </c>
      <c r="U29" s="38">
        <v>54.838709677419359</v>
      </c>
      <c r="V29" s="29">
        <v>0.17</v>
      </c>
      <c r="W29" s="17" t="str">
        <f>IF(AND($Q29=Output!$A$3, $O29=Output!$B$3, $S29&lt;=Output!$C$3, $G29&gt;=Output!$D$3), "T", "F")</f>
        <v>F</v>
      </c>
    </row>
    <row r="30" spans="1:23" ht="14.25" customHeight="1" x14ac:dyDescent="0.3">
      <c r="A30" s="23" t="s">
        <v>43</v>
      </c>
      <c r="B30" s="24" t="s">
        <v>66</v>
      </c>
      <c r="C30" s="23">
        <v>7.3</v>
      </c>
      <c r="D30" s="23">
        <v>150</v>
      </c>
      <c r="E30" s="25">
        <f t="shared" si="0"/>
        <v>241.93548387096774</v>
      </c>
      <c r="F30" s="23">
        <v>235</v>
      </c>
      <c r="G30" s="25">
        <f t="shared" si="1"/>
        <v>379.03225806451616</v>
      </c>
      <c r="H30" s="23">
        <v>161</v>
      </c>
      <c r="I30" s="25">
        <f t="shared" si="2"/>
        <v>259.67741935483872</v>
      </c>
      <c r="J30" s="23">
        <v>270</v>
      </c>
      <c r="K30" s="25">
        <f t="shared" si="3"/>
        <v>435.48387096774195</v>
      </c>
      <c r="L30" s="23" t="s">
        <v>33</v>
      </c>
      <c r="M30" s="23" t="s">
        <v>39</v>
      </c>
      <c r="N30" s="23" t="s">
        <v>35</v>
      </c>
      <c r="O30" s="23" t="s">
        <v>40</v>
      </c>
      <c r="P30" s="23" t="s">
        <v>48</v>
      </c>
      <c r="Q30" s="26">
        <v>4</v>
      </c>
      <c r="R30" s="27">
        <v>38017</v>
      </c>
      <c r="S30" s="28">
        <f t="shared" si="4"/>
        <v>41438.530000000006</v>
      </c>
      <c r="T30" s="17">
        <v>20440</v>
      </c>
      <c r="U30" s="38">
        <v>44.145161290322584</v>
      </c>
      <c r="V30" s="29">
        <v>0.17</v>
      </c>
      <c r="W30" s="17" t="str">
        <f>IF(AND($Q30=Output!$A$3, $O30=Output!$B$3, $S30&lt;=Output!$C$3, $G30&gt;=Output!$D$3), "T", "F")</f>
        <v>F</v>
      </c>
    </row>
    <row r="31" spans="1:23" ht="14.25" customHeight="1" x14ac:dyDescent="0.3">
      <c r="A31" s="23" t="s">
        <v>117</v>
      </c>
      <c r="B31" s="24" t="s">
        <v>137</v>
      </c>
      <c r="C31" s="23">
        <v>8.5</v>
      </c>
      <c r="D31" s="23">
        <v>150</v>
      </c>
      <c r="E31" s="25">
        <f t="shared" si="0"/>
        <v>241.93548387096774</v>
      </c>
      <c r="F31" s="23">
        <v>250</v>
      </c>
      <c r="G31" s="25">
        <f t="shared" si="1"/>
        <v>403.22580645161293</v>
      </c>
      <c r="H31" s="23">
        <v>180</v>
      </c>
      <c r="I31" s="25">
        <f t="shared" si="2"/>
        <v>290.32258064516128</v>
      </c>
      <c r="J31" s="23">
        <v>380</v>
      </c>
      <c r="K31" s="25">
        <f t="shared" si="3"/>
        <v>612.90322580645159</v>
      </c>
      <c r="L31" s="23" t="s">
        <v>33</v>
      </c>
      <c r="M31" s="23" t="s">
        <v>50</v>
      </c>
      <c r="N31" s="23" t="s">
        <v>35</v>
      </c>
      <c r="O31" s="23" t="s">
        <v>45</v>
      </c>
      <c r="P31" s="23" t="s">
        <v>48</v>
      </c>
      <c r="Q31" s="26">
        <v>5</v>
      </c>
      <c r="R31" s="27">
        <v>34361</v>
      </c>
      <c r="S31" s="28">
        <f t="shared" si="4"/>
        <v>37453.490000000005</v>
      </c>
      <c r="T31" s="17">
        <v>20440</v>
      </c>
      <c r="U31" s="38">
        <v>49.354838709677423</v>
      </c>
      <c r="V31" s="29">
        <v>0.17</v>
      </c>
      <c r="W31" s="17" t="str">
        <f>IF(AND($Q31=Output!$A$3, $O31=Output!$B$3, $S31&lt;=Output!$C$3, $G31&gt;=Output!$D$3), "T", "F")</f>
        <v>F</v>
      </c>
    </row>
    <row r="32" spans="1:23" ht="14.25" customHeight="1" x14ac:dyDescent="0.3">
      <c r="A32" s="23" t="s">
        <v>52</v>
      </c>
      <c r="B32" s="24" t="s">
        <v>138</v>
      </c>
      <c r="C32" s="23">
        <v>6.8</v>
      </c>
      <c r="D32" s="23">
        <v>190</v>
      </c>
      <c r="E32" s="25">
        <f t="shared" si="0"/>
        <v>306.45161290322579</v>
      </c>
      <c r="F32" s="23">
        <v>280</v>
      </c>
      <c r="G32" s="25">
        <f t="shared" si="1"/>
        <v>451.61290322580646</v>
      </c>
      <c r="H32" s="23">
        <v>231</v>
      </c>
      <c r="I32" s="25">
        <f t="shared" si="2"/>
        <v>372.58064516129031</v>
      </c>
      <c r="J32" s="23">
        <v>450</v>
      </c>
      <c r="K32" s="25">
        <f t="shared" si="3"/>
        <v>725.80645161290317</v>
      </c>
      <c r="L32" s="23" t="s">
        <v>33</v>
      </c>
      <c r="M32" s="23" t="s">
        <v>34</v>
      </c>
      <c r="N32" s="23" t="s">
        <v>35</v>
      </c>
      <c r="O32" s="23" t="s">
        <v>45</v>
      </c>
      <c r="P32" s="23" t="s">
        <v>139</v>
      </c>
      <c r="Q32" s="26">
        <v>5</v>
      </c>
      <c r="R32" s="27">
        <v>67358</v>
      </c>
      <c r="S32" s="28">
        <f t="shared" si="4"/>
        <v>73420.22</v>
      </c>
      <c r="T32" s="17">
        <v>20440</v>
      </c>
      <c r="U32" s="38">
        <v>63.338709677419359</v>
      </c>
      <c r="V32" s="29">
        <v>0.17</v>
      </c>
      <c r="W32" s="17" t="str">
        <f>IF(AND($Q32=Output!$A$3, $O32=Output!$B$3, $S32&lt;=Output!$C$3, $G32&gt;=Output!$D$3), "T", "F")</f>
        <v>F</v>
      </c>
    </row>
    <row r="33" spans="1:23" ht="14.25" customHeight="1" x14ac:dyDescent="0.3">
      <c r="A33" s="23" t="s">
        <v>67</v>
      </c>
      <c r="B33" s="24" t="s">
        <v>140</v>
      </c>
      <c r="C33" s="23">
        <v>7.8</v>
      </c>
      <c r="D33" s="23">
        <v>167</v>
      </c>
      <c r="E33" s="25">
        <f t="shared" si="0"/>
        <v>269.35483870967744</v>
      </c>
      <c r="F33" s="23">
        <v>370</v>
      </c>
      <c r="G33" s="25">
        <f t="shared" si="1"/>
        <v>596.77419354838707</v>
      </c>
      <c r="H33" s="23">
        <v>173</v>
      </c>
      <c r="I33" s="25">
        <f t="shared" si="2"/>
        <v>279.03225806451616</v>
      </c>
      <c r="J33" s="23">
        <v>350</v>
      </c>
      <c r="K33" s="25">
        <f t="shared" si="3"/>
        <v>564.51612903225805</v>
      </c>
      <c r="L33" s="23" t="s">
        <v>33</v>
      </c>
      <c r="M33" s="23" t="s">
        <v>50</v>
      </c>
      <c r="N33" s="23" t="s">
        <v>35</v>
      </c>
      <c r="O33" s="23" t="s">
        <v>45</v>
      </c>
      <c r="P33" s="23" t="s">
        <v>41</v>
      </c>
      <c r="Q33" s="26">
        <v>5</v>
      </c>
      <c r="R33" s="27">
        <v>38105</v>
      </c>
      <c r="S33" s="28">
        <f t="shared" si="4"/>
        <v>41534.450000000004</v>
      </c>
      <c r="T33" s="17">
        <v>20440</v>
      </c>
      <c r="U33" s="38">
        <v>47.435483870967751</v>
      </c>
      <c r="V33" s="29">
        <v>0.17</v>
      </c>
      <c r="W33" s="17" t="str">
        <f>IF(AND($Q33=Output!$A$3, $O33=Output!$B$3, $S33&lt;=Output!$C$3, $G33&gt;=Output!$D$3), "T", "F")</f>
        <v>F</v>
      </c>
    </row>
    <row r="34" spans="1:23" ht="14.25" customHeight="1" x14ac:dyDescent="0.3">
      <c r="A34" s="23" t="s">
        <v>68</v>
      </c>
      <c r="B34" s="24" t="s">
        <v>69</v>
      </c>
      <c r="C34" s="23">
        <v>11.4</v>
      </c>
      <c r="D34" s="23">
        <v>135</v>
      </c>
      <c r="E34" s="25">
        <f t="shared" si="0"/>
        <v>217.74193548387098</v>
      </c>
      <c r="F34" s="23">
        <v>315</v>
      </c>
      <c r="G34" s="25">
        <f t="shared" si="1"/>
        <v>508.06451612903226</v>
      </c>
      <c r="H34" s="23">
        <v>165</v>
      </c>
      <c r="I34" s="25">
        <f t="shared" si="2"/>
        <v>266.12903225806451</v>
      </c>
      <c r="J34" s="23">
        <v>230</v>
      </c>
      <c r="K34" s="25">
        <f t="shared" si="3"/>
        <v>370.9677419354839</v>
      </c>
      <c r="L34" s="23" t="s">
        <v>33</v>
      </c>
      <c r="M34" s="23" t="s">
        <v>50</v>
      </c>
      <c r="N34" s="23" t="s">
        <v>35</v>
      </c>
      <c r="O34" s="23" t="s">
        <v>40</v>
      </c>
      <c r="P34" s="23" t="s">
        <v>48</v>
      </c>
      <c r="Q34" s="26">
        <v>5</v>
      </c>
      <c r="R34" s="27">
        <v>31184</v>
      </c>
      <c r="S34" s="28">
        <f t="shared" si="4"/>
        <v>33990.560000000005</v>
      </c>
      <c r="T34" s="17">
        <v>20440</v>
      </c>
      <c r="U34" s="38">
        <v>45.241935483870968</v>
      </c>
      <c r="V34" s="29">
        <v>0.17</v>
      </c>
      <c r="W34" s="17" t="str">
        <f>IF(AND($Q34=Output!$A$3, $O34=Output!$B$3, $S34&lt;=Output!$C$3, $G34&gt;=Output!$D$3), "T", "F")</f>
        <v>F</v>
      </c>
    </row>
    <row r="35" spans="1:23" ht="14.25" customHeight="1" x14ac:dyDescent="0.3">
      <c r="A35" s="23" t="s">
        <v>31</v>
      </c>
      <c r="B35" s="24" t="s">
        <v>141</v>
      </c>
      <c r="C35" s="23">
        <v>3</v>
      </c>
      <c r="D35" s="23">
        <v>210</v>
      </c>
      <c r="E35" s="25">
        <f t="shared" si="0"/>
        <v>338.70967741935482</v>
      </c>
      <c r="F35" s="23">
        <v>750</v>
      </c>
      <c r="G35" s="25">
        <f t="shared" si="1"/>
        <v>1209.6774193548388</v>
      </c>
      <c r="H35" s="23">
        <v>267</v>
      </c>
      <c r="I35" s="25">
        <f t="shared" si="2"/>
        <v>430.64516129032256</v>
      </c>
      <c r="J35" s="23">
        <v>710</v>
      </c>
      <c r="K35" s="25">
        <f t="shared" si="3"/>
        <v>1145.1612903225807</v>
      </c>
      <c r="L35" s="23" t="s">
        <v>33</v>
      </c>
      <c r="M35" s="23" t="s">
        <v>34</v>
      </c>
      <c r="N35" s="23" t="s">
        <v>35</v>
      </c>
      <c r="O35" s="23" t="s">
        <v>70</v>
      </c>
      <c r="P35" s="23" t="s">
        <v>71</v>
      </c>
      <c r="Q35" s="26">
        <v>6</v>
      </c>
      <c r="R35" s="27">
        <v>75000</v>
      </c>
      <c r="S35" s="28">
        <f t="shared" si="4"/>
        <v>81750</v>
      </c>
      <c r="T35" s="17">
        <v>20440</v>
      </c>
      <c r="U35" s="38">
        <v>73.209677419354847</v>
      </c>
      <c r="V35" s="29">
        <v>0.17</v>
      </c>
      <c r="W35" s="17" t="str">
        <f>IF(AND($Q35=Output!$A$3, $O35=Output!$B$3, $S35&lt;=Output!$C$3, $G35&gt;=Output!$D$3), "T", "F")</f>
        <v>F</v>
      </c>
    </row>
    <row r="36" spans="1:23" ht="14.25" customHeight="1" x14ac:dyDescent="0.3">
      <c r="A36" s="23" t="s">
        <v>142</v>
      </c>
      <c r="B36" s="24" t="s">
        <v>143</v>
      </c>
      <c r="C36" s="23">
        <v>9</v>
      </c>
      <c r="D36" s="23">
        <v>150</v>
      </c>
      <c r="E36" s="25">
        <f t="shared" si="0"/>
        <v>241.93548387096774</v>
      </c>
      <c r="F36" s="23">
        <v>180</v>
      </c>
      <c r="G36" s="25">
        <f t="shared" si="1"/>
        <v>290.32258064516128</v>
      </c>
      <c r="H36" s="23">
        <v>178</v>
      </c>
      <c r="I36" s="25">
        <f t="shared" si="2"/>
        <v>287.09677419354841</v>
      </c>
      <c r="J36" s="23">
        <v>240</v>
      </c>
      <c r="K36" s="25">
        <f t="shared" si="3"/>
        <v>387.09677419354841</v>
      </c>
      <c r="L36" s="23" t="s">
        <v>33</v>
      </c>
      <c r="M36" s="23" t="s">
        <v>50</v>
      </c>
      <c r="N36" s="23" t="s">
        <v>35</v>
      </c>
      <c r="O36" s="23" t="s">
        <v>45</v>
      </c>
      <c r="P36" s="23" t="s">
        <v>41</v>
      </c>
      <c r="Q36" s="26">
        <v>5</v>
      </c>
      <c r="R36" s="27">
        <v>32646</v>
      </c>
      <c r="S36" s="28">
        <f t="shared" si="4"/>
        <v>35584.14</v>
      </c>
      <c r="T36" s="17">
        <v>20440</v>
      </c>
      <c r="U36" s="38">
        <v>48.806451612903231</v>
      </c>
      <c r="V36" s="29">
        <v>0.17</v>
      </c>
      <c r="W36" s="17" t="str">
        <f>IF(AND($Q36=Output!$A$3, $O36=Output!$B$3, $S36&lt;=Output!$C$3, $G36&gt;=Output!$D$3), "T", "F")</f>
        <v>F</v>
      </c>
    </row>
    <row r="37" spans="1:23" ht="14.25" customHeight="1" x14ac:dyDescent="0.3">
      <c r="A37" s="23" t="s">
        <v>55</v>
      </c>
      <c r="B37" s="24" t="s">
        <v>144</v>
      </c>
      <c r="C37" s="23">
        <v>7.3</v>
      </c>
      <c r="D37" s="23">
        <v>157</v>
      </c>
      <c r="E37" s="25">
        <f t="shared" si="0"/>
        <v>253.2258064516129</v>
      </c>
      <c r="F37" s="23">
        <v>325</v>
      </c>
      <c r="G37" s="25">
        <f t="shared" si="1"/>
        <v>524.19354838709683</v>
      </c>
      <c r="H37" s="23">
        <v>172</v>
      </c>
      <c r="I37" s="25">
        <f t="shared" si="2"/>
        <v>277.41935483870969</v>
      </c>
      <c r="J37" s="23">
        <v>390</v>
      </c>
      <c r="K37" s="25">
        <f t="shared" si="3"/>
        <v>629.0322580645161</v>
      </c>
      <c r="L37" s="23" t="s">
        <v>33</v>
      </c>
      <c r="M37" s="23" t="s">
        <v>50</v>
      </c>
      <c r="N37" s="23" t="s">
        <v>56</v>
      </c>
      <c r="O37" s="23" t="s">
        <v>40</v>
      </c>
      <c r="P37" s="23" t="s">
        <v>41</v>
      </c>
      <c r="Q37" s="26">
        <v>5</v>
      </c>
      <c r="R37" s="27">
        <v>37237</v>
      </c>
      <c r="S37" s="28">
        <f t="shared" si="4"/>
        <v>40588.33</v>
      </c>
      <c r="T37" s="17">
        <v>20440</v>
      </c>
      <c r="U37" s="38">
        <v>47.161290322580655</v>
      </c>
      <c r="V37" s="29">
        <v>0.17</v>
      </c>
      <c r="W37" s="17" t="str">
        <f>IF(AND($Q37=Output!$A$3, $O37=Output!$B$3, $S37&lt;=Output!$C$3, $G37&gt;=Output!$D$3), "T", "F")</f>
        <v>F</v>
      </c>
    </row>
    <row r="38" spans="1:23" ht="14.25" customHeight="1" x14ac:dyDescent="0.3">
      <c r="A38" s="23" t="s">
        <v>72</v>
      </c>
      <c r="B38" s="24" t="s">
        <v>73</v>
      </c>
      <c r="C38" s="23">
        <v>7.5</v>
      </c>
      <c r="D38" s="23">
        <v>160</v>
      </c>
      <c r="E38" s="25">
        <f t="shared" si="0"/>
        <v>258.06451612903226</v>
      </c>
      <c r="F38" s="23">
        <v>270</v>
      </c>
      <c r="G38" s="25">
        <f t="shared" si="1"/>
        <v>435.48387096774195</v>
      </c>
      <c r="H38" s="23">
        <v>193</v>
      </c>
      <c r="I38" s="25">
        <f t="shared" si="2"/>
        <v>311.29032258064518</v>
      </c>
      <c r="J38" s="23">
        <v>190</v>
      </c>
      <c r="K38" s="25">
        <f t="shared" si="3"/>
        <v>306.45161290322579</v>
      </c>
      <c r="L38" s="23" t="s">
        <v>33</v>
      </c>
      <c r="M38" s="23" t="s">
        <v>50</v>
      </c>
      <c r="N38" s="23" t="s">
        <v>56</v>
      </c>
      <c r="O38" s="23" t="s">
        <v>45</v>
      </c>
      <c r="P38" s="23" t="s">
        <v>41</v>
      </c>
      <c r="Q38" s="26">
        <v>5</v>
      </c>
      <c r="R38" s="27">
        <v>50000</v>
      </c>
      <c r="S38" s="28">
        <f t="shared" si="4"/>
        <v>54500.000000000007</v>
      </c>
      <c r="T38" s="17">
        <v>20440</v>
      </c>
      <c r="U38" s="38">
        <v>52.919354838709687</v>
      </c>
      <c r="V38" s="29">
        <v>0.17</v>
      </c>
      <c r="W38" s="17" t="str">
        <f>IF(AND($Q38=Output!$A$3, $O38=Output!$B$3, $S38&lt;=Output!$C$3, $G38&gt;=Output!$D$3), "T", "F")</f>
        <v>F</v>
      </c>
    </row>
    <row r="39" spans="1:23" ht="14.25" customHeight="1" x14ac:dyDescent="0.3">
      <c r="A39" s="23" t="s">
        <v>145</v>
      </c>
      <c r="B39" s="24" t="s">
        <v>146</v>
      </c>
      <c r="C39" s="23">
        <v>6.5</v>
      </c>
      <c r="D39" s="23">
        <v>160</v>
      </c>
      <c r="E39" s="25">
        <f t="shared" si="0"/>
        <v>258.06451612903226</v>
      </c>
      <c r="F39" s="23">
        <v>425</v>
      </c>
      <c r="G39" s="25">
        <f t="shared" si="1"/>
        <v>685.48387096774195</v>
      </c>
      <c r="H39" s="23">
        <v>181</v>
      </c>
      <c r="I39" s="25">
        <f t="shared" si="2"/>
        <v>291.93548387096774</v>
      </c>
      <c r="J39" s="23">
        <v>570</v>
      </c>
      <c r="K39" s="25">
        <f t="shared" si="3"/>
        <v>919.35483870967744</v>
      </c>
      <c r="L39" s="23" t="s">
        <v>33</v>
      </c>
      <c r="M39" s="23" t="s">
        <v>39</v>
      </c>
      <c r="N39" s="23" t="s">
        <v>35</v>
      </c>
      <c r="O39" s="23" t="s">
        <v>40</v>
      </c>
      <c r="P39" s="23" t="s">
        <v>41</v>
      </c>
      <c r="Q39" s="26">
        <v>4</v>
      </c>
      <c r="R39" s="27">
        <v>45000</v>
      </c>
      <c r="S39" s="28">
        <f t="shared" si="4"/>
        <v>49050</v>
      </c>
      <c r="T39" s="17">
        <v>20440</v>
      </c>
      <c r="U39" s="38">
        <v>49.62903225806452</v>
      </c>
      <c r="V39" s="29">
        <v>0.17</v>
      </c>
      <c r="W39" s="17" t="str">
        <f>IF(AND($Q39=Output!$A$3, $O39=Output!$B$3, $S39&lt;=Output!$C$3, $G39&gt;=Output!$D$3), "T", "F")</f>
        <v>F</v>
      </c>
    </row>
    <row r="40" spans="1:23" ht="14.25" customHeight="1" x14ac:dyDescent="0.3">
      <c r="A40" s="23" t="s">
        <v>68</v>
      </c>
      <c r="B40" s="24" t="s">
        <v>147</v>
      </c>
      <c r="C40" s="23">
        <v>9.5</v>
      </c>
      <c r="D40" s="23">
        <v>140</v>
      </c>
      <c r="E40" s="25">
        <f t="shared" si="0"/>
        <v>225.80645161290323</v>
      </c>
      <c r="F40" s="23">
        <v>310</v>
      </c>
      <c r="G40" s="25">
        <f t="shared" si="1"/>
        <v>500</v>
      </c>
      <c r="H40" s="23">
        <v>168</v>
      </c>
      <c r="I40" s="25">
        <f t="shared" si="2"/>
        <v>270.9677419354839</v>
      </c>
      <c r="J40" s="23">
        <v>230</v>
      </c>
      <c r="K40" s="25">
        <f t="shared" si="3"/>
        <v>370.9677419354839</v>
      </c>
      <c r="L40" s="23" t="s">
        <v>33</v>
      </c>
      <c r="M40" s="23" t="s">
        <v>50</v>
      </c>
      <c r="N40" s="23" t="s">
        <v>35</v>
      </c>
      <c r="O40" s="23" t="s">
        <v>40</v>
      </c>
      <c r="P40" s="23" t="s">
        <v>48</v>
      </c>
      <c r="Q40" s="26">
        <v>5</v>
      </c>
      <c r="R40" s="27">
        <v>33133</v>
      </c>
      <c r="S40" s="28">
        <f t="shared" si="4"/>
        <v>36114.97</v>
      </c>
      <c r="T40" s="17">
        <v>20440</v>
      </c>
      <c r="U40" s="38">
        <v>46.064516129032263</v>
      </c>
      <c r="V40" s="29">
        <v>0.17</v>
      </c>
      <c r="W40" s="17" t="str">
        <f>IF(AND($Q40=Output!$A$3, $O40=Output!$B$3, $S40&lt;=Output!$C$3, $G40&gt;=Output!$D$3), "T", "F")</f>
        <v>F</v>
      </c>
    </row>
    <row r="41" spans="1:23" ht="14.25" customHeight="1" x14ac:dyDescent="0.3">
      <c r="A41" s="23" t="s">
        <v>54</v>
      </c>
      <c r="B41" s="24" t="s">
        <v>148</v>
      </c>
      <c r="C41" s="23">
        <v>5</v>
      </c>
      <c r="D41" s="23">
        <v>200</v>
      </c>
      <c r="E41" s="25">
        <f t="shared" si="0"/>
        <v>322.58064516129031</v>
      </c>
      <c r="F41" s="23">
        <v>350</v>
      </c>
      <c r="G41" s="25">
        <f t="shared" si="1"/>
        <v>564.51612903225805</v>
      </c>
      <c r="H41" s="23">
        <v>171</v>
      </c>
      <c r="I41" s="25">
        <f t="shared" si="2"/>
        <v>275.80645161290323</v>
      </c>
      <c r="J41" s="23">
        <v>440</v>
      </c>
      <c r="K41" s="25">
        <f t="shared" si="3"/>
        <v>709.67741935483866</v>
      </c>
      <c r="L41" s="23" t="s">
        <v>33</v>
      </c>
      <c r="M41" s="23" t="s">
        <v>34</v>
      </c>
      <c r="N41" s="23" t="s">
        <v>35</v>
      </c>
      <c r="O41" s="23" t="s">
        <v>45</v>
      </c>
      <c r="P41" s="23" t="s">
        <v>41</v>
      </c>
      <c r="Q41" s="26">
        <v>5</v>
      </c>
      <c r="R41" s="27">
        <v>45000</v>
      </c>
      <c r="S41" s="28">
        <f t="shared" si="4"/>
        <v>49050</v>
      </c>
      <c r="T41" s="17">
        <v>20440</v>
      </c>
      <c r="U41" s="38">
        <v>46.887096774193552</v>
      </c>
      <c r="V41" s="29">
        <v>0.17</v>
      </c>
      <c r="W41" s="17" t="str">
        <f>IF(AND($Q41=Output!$A$3, $O41=Output!$B$3, $S41&lt;=Output!$C$3, $G41&gt;=Output!$D$3), "T", "F")</f>
        <v>F</v>
      </c>
    </row>
    <row r="42" spans="1:23" ht="14.25" customHeight="1" x14ac:dyDescent="0.3">
      <c r="A42" s="23" t="s">
        <v>31</v>
      </c>
      <c r="B42" s="24" t="s">
        <v>74</v>
      </c>
      <c r="C42" s="23">
        <v>3.8</v>
      </c>
      <c r="D42" s="23">
        <v>250</v>
      </c>
      <c r="E42" s="25">
        <f t="shared" si="0"/>
        <v>403.22580645161293</v>
      </c>
      <c r="F42" s="23">
        <v>515</v>
      </c>
      <c r="G42" s="25">
        <f t="shared" si="1"/>
        <v>830.64516129032256</v>
      </c>
      <c r="H42" s="23">
        <v>184</v>
      </c>
      <c r="I42" s="25">
        <f t="shared" si="2"/>
        <v>296.77419354838707</v>
      </c>
      <c r="J42" s="23">
        <v>560</v>
      </c>
      <c r="K42" s="25">
        <f t="shared" si="3"/>
        <v>903.22580645161293</v>
      </c>
      <c r="L42" s="23" t="s">
        <v>33</v>
      </c>
      <c r="M42" s="23" t="s">
        <v>34</v>
      </c>
      <c r="N42" s="23" t="s">
        <v>75</v>
      </c>
      <c r="O42" s="23" t="s">
        <v>9</v>
      </c>
      <c r="P42" s="23" t="s">
        <v>49</v>
      </c>
      <c r="Q42" s="26">
        <v>5</v>
      </c>
      <c r="R42" s="27">
        <v>79990</v>
      </c>
      <c r="S42" s="28">
        <f t="shared" si="4"/>
        <v>87189.1</v>
      </c>
      <c r="T42" s="17">
        <v>20440</v>
      </c>
      <c r="U42" s="38">
        <v>50.451612903225808</v>
      </c>
      <c r="V42" s="29">
        <v>0.17</v>
      </c>
      <c r="W42" s="17" t="str">
        <f>IF(AND($Q42=Output!$A$3, $O42=Output!$B$3, $S42&lt;=Output!$C$3, $G42&gt;=Output!$D$3), "T", "F")</f>
        <v>F</v>
      </c>
    </row>
    <row r="43" spans="1:23" ht="14.25" customHeight="1" x14ac:dyDescent="0.3">
      <c r="A43" s="23" t="s">
        <v>57</v>
      </c>
      <c r="B43" s="24" t="s">
        <v>149</v>
      </c>
      <c r="C43" s="23">
        <v>9.9</v>
      </c>
      <c r="D43" s="23">
        <v>155</v>
      </c>
      <c r="E43" s="25">
        <f t="shared" si="0"/>
        <v>250</v>
      </c>
      <c r="F43" s="23">
        <v>255</v>
      </c>
      <c r="G43" s="25">
        <f t="shared" si="1"/>
        <v>411.29032258064518</v>
      </c>
      <c r="H43" s="23">
        <v>154</v>
      </c>
      <c r="I43" s="25">
        <f t="shared" si="2"/>
        <v>248.38709677419354</v>
      </c>
      <c r="J43" s="23">
        <v>210</v>
      </c>
      <c r="K43" s="25">
        <f t="shared" si="3"/>
        <v>338.70967741935482</v>
      </c>
      <c r="L43" s="23" t="s">
        <v>33</v>
      </c>
      <c r="M43" s="23" t="s">
        <v>50</v>
      </c>
      <c r="N43" s="23" t="s">
        <v>35</v>
      </c>
      <c r="O43" s="23" t="s">
        <v>45</v>
      </c>
      <c r="P43" s="23" t="s">
        <v>48</v>
      </c>
      <c r="Q43" s="26">
        <v>5</v>
      </c>
      <c r="R43" s="27">
        <v>33971</v>
      </c>
      <c r="S43" s="28">
        <f t="shared" si="4"/>
        <v>37028.39</v>
      </c>
      <c r="T43" s="17">
        <v>20440</v>
      </c>
      <c r="U43" s="38">
        <v>42.225806451612904</v>
      </c>
      <c r="V43" s="29">
        <v>0.17</v>
      </c>
      <c r="W43" s="17" t="str">
        <f>IF(AND($Q43=Output!$A$3, $O43=Output!$B$3, $S43&lt;=Output!$C$3, $G43&gt;=Output!$D$3), "T", "F")</f>
        <v>F</v>
      </c>
    </row>
    <row r="44" spans="1:23" ht="14.25" customHeight="1" x14ac:dyDescent="0.3">
      <c r="A44" s="23" t="s">
        <v>52</v>
      </c>
      <c r="B44" s="24" t="s">
        <v>150</v>
      </c>
      <c r="C44" s="23">
        <v>5.7</v>
      </c>
      <c r="D44" s="23">
        <v>200</v>
      </c>
      <c r="E44" s="25">
        <f t="shared" si="0"/>
        <v>322.58064516129031</v>
      </c>
      <c r="F44" s="23">
        <v>380</v>
      </c>
      <c r="G44" s="25">
        <f t="shared" si="1"/>
        <v>612.90322580645159</v>
      </c>
      <c r="H44" s="23">
        <v>228</v>
      </c>
      <c r="I44" s="25">
        <f t="shared" si="2"/>
        <v>367.74193548387098</v>
      </c>
      <c r="J44" s="23">
        <v>610</v>
      </c>
      <c r="K44" s="25">
        <f t="shared" si="3"/>
        <v>983.87096774193549</v>
      </c>
      <c r="L44" s="23" t="s">
        <v>33</v>
      </c>
      <c r="M44" s="23" t="s">
        <v>34</v>
      </c>
      <c r="N44" s="23" t="s">
        <v>35</v>
      </c>
      <c r="O44" s="23" t="s">
        <v>45</v>
      </c>
      <c r="P44" s="23" t="s">
        <v>139</v>
      </c>
      <c r="Q44" s="26">
        <v>5</v>
      </c>
      <c r="R44" s="27">
        <v>81639</v>
      </c>
      <c r="S44" s="28">
        <f t="shared" si="4"/>
        <v>88986.510000000009</v>
      </c>
      <c r="T44" s="17">
        <v>20440</v>
      </c>
      <c r="U44" s="38">
        <v>62.516129032258071</v>
      </c>
      <c r="V44" s="29">
        <v>0.17</v>
      </c>
      <c r="W44" s="17" t="str">
        <f>IF(AND($Q44=Output!$A$3, $O44=Output!$B$3, $S44&lt;=Output!$C$3, $G44&gt;=Output!$D$3), "T", "F")</f>
        <v>F</v>
      </c>
    </row>
    <row r="45" spans="1:23" ht="14.25" customHeight="1" x14ac:dyDescent="0.3">
      <c r="A45" s="23" t="s">
        <v>64</v>
      </c>
      <c r="B45" s="24" t="s">
        <v>151</v>
      </c>
      <c r="C45" s="23">
        <v>12.3</v>
      </c>
      <c r="D45" s="23">
        <v>130</v>
      </c>
      <c r="E45" s="25">
        <f t="shared" si="0"/>
        <v>209.67741935483872</v>
      </c>
      <c r="F45" s="23">
        <v>195</v>
      </c>
      <c r="G45" s="25">
        <f t="shared" si="1"/>
        <v>314.51612903225805</v>
      </c>
      <c r="H45" s="23">
        <v>166</v>
      </c>
      <c r="I45" s="25">
        <f t="shared" si="2"/>
        <v>267.74193548387098</v>
      </c>
      <c r="J45" s="23">
        <v>170</v>
      </c>
      <c r="K45" s="25">
        <f t="shared" si="3"/>
        <v>274.19354838709677</v>
      </c>
      <c r="L45" s="23" t="s">
        <v>33</v>
      </c>
      <c r="M45" s="23" t="s">
        <v>50</v>
      </c>
      <c r="N45" s="23" t="s">
        <v>35</v>
      </c>
      <c r="O45" s="23" t="s">
        <v>40</v>
      </c>
      <c r="P45" s="23" t="s">
        <v>61</v>
      </c>
      <c r="Q45" s="26">
        <v>4</v>
      </c>
      <c r="R45" s="27">
        <v>24534</v>
      </c>
      <c r="S45" s="28">
        <f t="shared" si="4"/>
        <v>26742.06</v>
      </c>
      <c r="T45" s="17">
        <v>20440</v>
      </c>
      <c r="U45" s="38">
        <v>45.516129032258071</v>
      </c>
      <c r="V45" s="29">
        <v>0.17</v>
      </c>
      <c r="W45" s="17" t="str">
        <f>IF(AND($Q45=Output!$A$3, $O45=Output!$B$3, $S45&lt;=Output!$C$3, $G45&gt;=Output!$D$3), "T", "F")</f>
        <v>F</v>
      </c>
    </row>
    <row r="46" spans="1:23" ht="14.25" customHeight="1" x14ac:dyDescent="0.3">
      <c r="A46" s="23" t="s">
        <v>76</v>
      </c>
      <c r="B46" s="24" t="s">
        <v>77</v>
      </c>
      <c r="C46" s="23">
        <v>12.3</v>
      </c>
      <c r="D46" s="23">
        <v>130</v>
      </c>
      <c r="E46" s="25">
        <f t="shared" si="0"/>
        <v>209.67741935483872</v>
      </c>
      <c r="F46" s="23">
        <v>195</v>
      </c>
      <c r="G46" s="25">
        <f t="shared" si="1"/>
        <v>314.51612903225805</v>
      </c>
      <c r="H46" s="23">
        <v>166</v>
      </c>
      <c r="I46" s="25">
        <f t="shared" si="2"/>
        <v>267.74193548387098</v>
      </c>
      <c r="J46" s="23">
        <v>170</v>
      </c>
      <c r="K46" s="25">
        <f t="shared" si="3"/>
        <v>274.19354838709677</v>
      </c>
      <c r="L46" s="23" t="s">
        <v>33</v>
      </c>
      <c r="M46" s="23" t="s">
        <v>50</v>
      </c>
      <c r="N46" s="23" t="s">
        <v>35</v>
      </c>
      <c r="O46" s="23" t="s">
        <v>40</v>
      </c>
      <c r="P46" s="23" t="s">
        <v>61</v>
      </c>
      <c r="Q46" s="26">
        <v>4</v>
      </c>
      <c r="R46" s="27">
        <v>20129</v>
      </c>
      <c r="S46" s="28">
        <f t="shared" si="4"/>
        <v>21940.61</v>
      </c>
      <c r="T46" s="17">
        <v>20440</v>
      </c>
      <c r="U46" s="38">
        <v>45.516129032258071</v>
      </c>
      <c r="V46" s="29">
        <v>0.17</v>
      </c>
      <c r="W46" s="17" t="str">
        <f>IF(AND($Q46=Output!$A$3, $O46=Output!$B$3, $S46&lt;=Output!$C$3, $G46&gt;=Output!$D$3), "T", "F")</f>
        <v>F</v>
      </c>
    </row>
    <row r="47" spans="1:23" ht="14.25" customHeight="1" x14ac:dyDescent="0.3">
      <c r="A47" s="23" t="s">
        <v>67</v>
      </c>
      <c r="B47" s="24" t="s">
        <v>78</v>
      </c>
      <c r="C47" s="23">
        <v>7.9</v>
      </c>
      <c r="D47" s="23">
        <v>167</v>
      </c>
      <c r="E47" s="25">
        <f t="shared" si="0"/>
        <v>269.35483870967744</v>
      </c>
      <c r="F47" s="23">
        <v>365</v>
      </c>
      <c r="G47" s="25">
        <f t="shared" si="1"/>
        <v>588.70967741935488</v>
      </c>
      <c r="H47" s="23">
        <v>175</v>
      </c>
      <c r="I47" s="25">
        <f t="shared" si="2"/>
        <v>282.25806451612902</v>
      </c>
      <c r="J47" s="23">
        <v>340</v>
      </c>
      <c r="K47" s="25">
        <f t="shared" si="3"/>
        <v>548.38709677419354</v>
      </c>
      <c r="L47" s="23" t="s">
        <v>33</v>
      </c>
      <c r="M47" s="23" t="s">
        <v>50</v>
      </c>
      <c r="N47" s="23" t="s">
        <v>35</v>
      </c>
      <c r="O47" s="23" t="s">
        <v>45</v>
      </c>
      <c r="P47" s="23" t="s">
        <v>48</v>
      </c>
      <c r="Q47" s="26">
        <v>5</v>
      </c>
      <c r="R47" s="27">
        <v>36837</v>
      </c>
      <c r="S47" s="28">
        <f t="shared" si="4"/>
        <v>40152.33</v>
      </c>
      <c r="T47" s="17">
        <v>20440</v>
      </c>
      <c r="U47" s="38">
        <v>47.983870967741936</v>
      </c>
      <c r="V47" s="29">
        <v>0.17</v>
      </c>
      <c r="W47" s="17" t="str">
        <f>IF(AND($Q47=Output!$A$3, $O47=Output!$B$3, $S47&lt;=Output!$C$3, $G47&gt;=Output!$D$3), "T", "F")</f>
        <v>F</v>
      </c>
    </row>
    <row r="48" spans="1:23" ht="14.25" customHeight="1" x14ac:dyDescent="0.3">
      <c r="A48" s="23" t="s">
        <v>62</v>
      </c>
      <c r="B48" s="24" t="s">
        <v>152</v>
      </c>
      <c r="C48" s="23">
        <v>7.3</v>
      </c>
      <c r="D48" s="23">
        <v>150</v>
      </c>
      <c r="E48" s="25">
        <f t="shared" si="0"/>
        <v>241.93548387096774</v>
      </c>
      <c r="F48" s="23">
        <v>335</v>
      </c>
      <c r="G48" s="25">
        <f t="shared" si="1"/>
        <v>540.32258064516134</v>
      </c>
      <c r="H48" s="23">
        <v>173</v>
      </c>
      <c r="I48" s="25">
        <f t="shared" si="2"/>
        <v>279.03225806451616</v>
      </c>
      <c r="J48" s="23">
        <v>210</v>
      </c>
      <c r="K48" s="25">
        <f t="shared" si="3"/>
        <v>338.70967741935482</v>
      </c>
      <c r="L48" s="23" t="s">
        <v>33</v>
      </c>
      <c r="M48" s="23" t="s">
        <v>50</v>
      </c>
      <c r="N48" s="23" t="s">
        <v>35</v>
      </c>
      <c r="O48" s="23" t="s">
        <v>79</v>
      </c>
      <c r="P48" s="23" t="s">
        <v>48</v>
      </c>
      <c r="Q48" s="26">
        <v>5</v>
      </c>
      <c r="R48" s="27">
        <v>41906</v>
      </c>
      <c r="S48" s="28">
        <f t="shared" si="4"/>
        <v>45677.54</v>
      </c>
      <c r="T48" s="17">
        <v>20440</v>
      </c>
      <c r="U48" s="38">
        <v>47.435483870967751</v>
      </c>
      <c r="V48" s="29">
        <v>0.17</v>
      </c>
      <c r="W48" s="17" t="str">
        <f>IF(AND($Q48=Output!$A$3, $O48=Output!$B$3, $S48&lt;=Output!$C$3, $G48&gt;=Output!$D$3), "T", "F")</f>
        <v>F</v>
      </c>
    </row>
    <row r="49" spans="1:23" ht="14.25" customHeight="1" x14ac:dyDescent="0.3">
      <c r="A49" s="23" t="s">
        <v>59</v>
      </c>
      <c r="B49" s="24" t="s">
        <v>153</v>
      </c>
      <c r="C49" s="23">
        <v>4</v>
      </c>
      <c r="D49" s="23">
        <v>250</v>
      </c>
      <c r="E49" s="25">
        <f t="shared" si="0"/>
        <v>403.22580645161293</v>
      </c>
      <c r="F49" s="23">
        <v>365</v>
      </c>
      <c r="G49" s="25">
        <f t="shared" si="1"/>
        <v>588.70967741935488</v>
      </c>
      <c r="H49" s="23">
        <v>195</v>
      </c>
      <c r="I49" s="25">
        <f t="shared" si="2"/>
        <v>314.51612903225805</v>
      </c>
      <c r="J49" s="23">
        <v>730</v>
      </c>
      <c r="K49" s="25">
        <f t="shared" si="3"/>
        <v>1177.4193548387098</v>
      </c>
      <c r="L49" s="23" t="s">
        <v>33</v>
      </c>
      <c r="M49" s="23" t="s">
        <v>34</v>
      </c>
      <c r="N49" s="23" t="s">
        <v>35</v>
      </c>
      <c r="O49" s="23" t="s">
        <v>6</v>
      </c>
      <c r="P49" s="23" t="s">
        <v>49</v>
      </c>
      <c r="Q49" s="26">
        <v>4</v>
      </c>
      <c r="R49" s="27">
        <v>102945</v>
      </c>
      <c r="S49" s="28">
        <f t="shared" si="4"/>
        <v>112210.05</v>
      </c>
      <c r="T49" s="17">
        <v>20440</v>
      </c>
      <c r="U49" s="38">
        <v>53.467741935483872</v>
      </c>
      <c r="V49" s="29">
        <v>0.17</v>
      </c>
      <c r="W49" s="17" t="str">
        <f>IF(AND($Q49=Output!$A$3, $O49=Output!$B$3, $S49&lt;=Output!$C$3, $G49&gt;=Output!$D$3), "T", "F")</f>
        <v>F</v>
      </c>
    </row>
    <row r="50" spans="1:23" ht="14.25" customHeight="1" x14ac:dyDescent="0.3">
      <c r="A50" s="23" t="s">
        <v>80</v>
      </c>
      <c r="B50" s="24" t="s">
        <v>81</v>
      </c>
      <c r="C50" s="23">
        <v>10</v>
      </c>
      <c r="D50" s="23">
        <v>150</v>
      </c>
      <c r="E50" s="25">
        <f t="shared" si="0"/>
        <v>241.93548387096774</v>
      </c>
      <c r="F50" s="23">
        <v>575</v>
      </c>
      <c r="G50" s="25">
        <f t="shared" si="1"/>
        <v>927.41935483870964</v>
      </c>
      <c r="H50" s="23">
        <v>104</v>
      </c>
      <c r="I50" s="25">
        <f t="shared" si="2"/>
        <v>167.74193548387098</v>
      </c>
      <c r="J50" s="23">
        <v>540</v>
      </c>
      <c r="K50" s="25">
        <f t="shared" si="3"/>
        <v>870.9677419354839</v>
      </c>
      <c r="L50" s="23" t="s">
        <v>33</v>
      </c>
      <c r="M50" s="23" t="s">
        <v>34</v>
      </c>
      <c r="N50" s="23" t="s">
        <v>35</v>
      </c>
      <c r="O50" s="23" t="s">
        <v>9</v>
      </c>
      <c r="P50" s="23" t="s">
        <v>49</v>
      </c>
      <c r="Q50" s="26">
        <v>5</v>
      </c>
      <c r="R50" s="27">
        <v>149000</v>
      </c>
      <c r="S50" s="28">
        <f t="shared" si="4"/>
        <v>162410</v>
      </c>
      <c r="T50" s="17">
        <v>20440</v>
      </c>
      <c r="U50" s="38">
        <v>28.516129032258068</v>
      </c>
      <c r="V50" s="29">
        <v>0.17</v>
      </c>
      <c r="W50" s="17" t="str">
        <f>IF(AND($Q50=Output!$A$3, $O50=Output!$B$3, $S50&lt;=Output!$C$3, $G50&gt;=Output!$D$3), "T", "F")</f>
        <v>F</v>
      </c>
    </row>
    <row r="51" spans="1:23" ht="14.25" customHeight="1" x14ac:dyDescent="0.3">
      <c r="A51" s="23" t="s">
        <v>154</v>
      </c>
      <c r="B51" s="24" t="s">
        <v>155</v>
      </c>
      <c r="C51" s="23">
        <v>9</v>
      </c>
      <c r="D51" s="23">
        <v>150</v>
      </c>
      <c r="E51" s="25">
        <f t="shared" si="0"/>
        <v>241.93548387096774</v>
      </c>
      <c r="F51" s="23">
        <v>335</v>
      </c>
      <c r="G51" s="25">
        <f t="shared" si="1"/>
        <v>540.32258064516134</v>
      </c>
      <c r="H51" s="23">
        <v>188</v>
      </c>
      <c r="I51" s="25">
        <f t="shared" si="2"/>
        <v>303.22580645161293</v>
      </c>
      <c r="J51" s="23">
        <v>350</v>
      </c>
      <c r="K51" s="25">
        <f t="shared" si="3"/>
        <v>564.51612903225805</v>
      </c>
      <c r="L51" s="23" t="s">
        <v>33</v>
      </c>
      <c r="M51" s="23" t="s">
        <v>50</v>
      </c>
      <c r="N51" s="23" t="s">
        <v>35</v>
      </c>
      <c r="O51" s="23" t="s">
        <v>45</v>
      </c>
      <c r="P51" s="23" t="s">
        <v>41</v>
      </c>
      <c r="Q51" s="26">
        <v>5</v>
      </c>
      <c r="R51" s="27">
        <v>36057</v>
      </c>
      <c r="S51" s="28">
        <f t="shared" si="4"/>
        <v>39302.130000000005</v>
      </c>
      <c r="T51" s="17">
        <v>20440</v>
      </c>
      <c r="U51" s="38">
        <v>51.548387096774199</v>
      </c>
      <c r="V51" s="29">
        <v>0.17</v>
      </c>
      <c r="W51" s="17" t="str">
        <f>IF(AND($Q51=Output!$A$3, $O51=Output!$B$3, $S51&lt;=Output!$C$3, $G51&gt;=Output!$D$3), "T", "F")</f>
        <v>F</v>
      </c>
    </row>
    <row r="52" spans="1:23" ht="14.25" customHeight="1" x14ac:dyDescent="0.3">
      <c r="A52" s="23" t="s">
        <v>52</v>
      </c>
      <c r="B52" s="24" t="s">
        <v>156</v>
      </c>
      <c r="C52" s="23">
        <v>5.7</v>
      </c>
      <c r="D52" s="23">
        <v>200</v>
      </c>
      <c r="E52" s="25">
        <f t="shared" si="0"/>
        <v>322.58064516129031</v>
      </c>
      <c r="F52" s="23">
        <v>365</v>
      </c>
      <c r="G52" s="25">
        <f t="shared" si="1"/>
        <v>588.70967741935488</v>
      </c>
      <c r="H52" s="23">
        <v>237</v>
      </c>
      <c r="I52" s="25">
        <f t="shared" si="2"/>
        <v>382.25806451612902</v>
      </c>
      <c r="J52" s="23">
        <v>590</v>
      </c>
      <c r="K52" s="25">
        <f t="shared" si="3"/>
        <v>951.61290322580646</v>
      </c>
      <c r="L52" s="23" t="s">
        <v>33</v>
      </c>
      <c r="M52" s="23" t="s">
        <v>34</v>
      </c>
      <c r="N52" s="23" t="s">
        <v>35</v>
      </c>
      <c r="O52" s="23" t="s">
        <v>45</v>
      </c>
      <c r="P52" s="23" t="s">
        <v>139</v>
      </c>
      <c r="Q52" s="26">
        <v>5</v>
      </c>
      <c r="R52" s="27">
        <v>79445</v>
      </c>
      <c r="S52" s="28">
        <f t="shared" si="4"/>
        <v>86595.05</v>
      </c>
      <c r="T52" s="17">
        <v>20440</v>
      </c>
      <c r="U52" s="38">
        <v>64.983870967741936</v>
      </c>
      <c r="V52" s="29">
        <v>0.17</v>
      </c>
      <c r="W52" s="17" t="str">
        <f>IF(AND($Q52=Output!$A$3, $O52=Output!$B$3, $S52&lt;=Output!$C$3, $G52&gt;=Output!$D$3), "T", "F")</f>
        <v>F</v>
      </c>
    </row>
    <row r="53" spans="1:23" ht="14.25" customHeight="1" x14ac:dyDescent="0.3">
      <c r="A53" s="23" t="s">
        <v>31</v>
      </c>
      <c r="B53" s="24" t="s">
        <v>157</v>
      </c>
      <c r="C53" s="23">
        <v>2.1</v>
      </c>
      <c r="D53" s="23">
        <v>410</v>
      </c>
      <c r="E53" s="25">
        <f t="shared" si="0"/>
        <v>661.29032258064512</v>
      </c>
      <c r="F53" s="23">
        <v>970</v>
      </c>
      <c r="G53" s="25">
        <f t="shared" si="1"/>
        <v>1564.516129032258</v>
      </c>
      <c r="H53" s="23">
        <v>206</v>
      </c>
      <c r="I53" s="25">
        <f t="shared" si="2"/>
        <v>332.25806451612902</v>
      </c>
      <c r="J53" s="23">
        <v>920</v>
      </c>
      <c r="K53" s="25">
        <f t="shared" si="3"/>
        <v>1483.8709677419356</v>
      </c>
      <c r="L53" s="23" t="s">
        <v>33</v>
      </c>
      <c r="M53" s="23" t="s">
        <v>34</v>
      </c>
      <c r="N53" s="23" t="s">
        <v>35</v>
      </c>
      <c r="O53" s="23" t="s">
        <v>82</v>
      </c>
      <c r="P53" s="23" t="s">
        <v>158</v>
      </c>
      <c r="Q53" s="26">
        <v>4</v>
      </c>
      <c r="R53" s="27">
        <v>215000</v>
      </c>
      <c r="S53" s="28">
        <f t="shared" si="4"/>
        <v>234350.00000000003</v>
      </c>
      <c r="T53" s="17">
        <v>20440</v>
      </c>
      <c r="U53" s="38">
        <v>56.483870967741936</v>
      </c>
      <c r="V53" s="29">
        <v>0.17</v>
      </c>
      <c r="W53" s="17" t="str">
        <f>IF(AND($Q53=Output!$A$3, $O53=Output!$B$3, $S53&lt;=Output!$C$3, $G53&gt;=Output!$D$3), "T", "F")</f>
        <v>F</v>
      </c>
    </row>
    <row r="54" spans="1:23" ht="14.25" customHeight="1" x14ac:dyDescent="0.3">
      <c r="A54" s="23" t="s">
        <v>62</v>
      </c>
      <c r="B54" s="24" t="s">
        <v>83</v>
      </c>
      <c r="C54" s="23">
        <v>8.5</v>
      </c>
      <c r="D54" s="23">
        <v>150</v>
      </c>
      <c r="E54" s="25">
        <f t="shared" si="0"/>
        <v>241.93548387096774</v>
      </c>
      <c r="F54" s="23">
        <v>255</v>
      </c>
      <c r="G54" s="25">
        <f t="shared" si="1"/>
        <v>411.29032258064518</v>
      </c>
      <c r="H54" s="23">
        <v>176</v>
      </c>
      <c r="I54" s="25">
        <f t="shared" si="2"/>
        <v>283.87096774193549</v>
      </c>
      <c r="J54" s="23">
        <v>390</v>
      </c>
      <c r="K54" s="25">
        <f t="shared" si="3"/>
        <v>629.0322580645161</v>
      </c>
      <c r="L54" s="23" t="s">
        <v>33</v>
      </c>
      <c r="M54" s="23" t="s">
        <v>50</v>
      </c>
      <c r="N54" s="23" t="s">
        <v>35</v>
      </c>
      <c r="O54" s="23" t="s">
        <v>45</v>
      </c>
      <c r="P54" s="23" t="s">
        <v>48</v>
      </c>
      <c r="Q54" s="26">
        <v>5</v>
      </c>
      <c r="R54" s="27">
        <v>35000</v>
      </c>
      <c r="S54" s="28">
        <f t="shared" si="4"/>
        <v>38150</v>
      </c>
      <c r="T54" s="17">
        <v>20440</v>
      </c>
      <c r="U54" s="38">
        <v>48.258064516129039</v>
      </c>
      <c r="V54" s="29">
        <v>0.17</v>
      </c>
      <c r="W54" s="17" t="str">
        <f>IF(AND($Q54=Output!$A$3, $O54=Output!$B$3, $S54&lt;=Output!$C$3, $G54&gt;=Output!$D$3), "T", "F")</f>
        <v>F</v>
      </c>
    </row>
    <row r="55" spans="1:23" ht="14.25" customHeight="1" x14ac:dyDescent="0.3">
      <c r="A55" s="23" t="s">
        <v>64</v>
      </c>
      <c r="B55" s="24" t="s">
        <v>159</v>
      </c>
      <c r="C55" s="23">
        <v>8.8000000000000007</v>
      </c>
      <c r="D55" s="23">
        <v>160</v>
      </c>
      <c r="E55" s="25">
        <f t="shared" si="0"/>
        <v>258.06451612903226</v>
      </c>
      <c r="F55" s="23">
        <v>420</v>
      </c>
      <c r="G55" s="25">
        <f t="shared" si="1"/>
        <v>677.41935483870964</v>
      </c>
      <c r="H55" s="23">
        <v>183</v>
      </c>
      <c r="I55" s="25">
        <f t="shared" si="2"/>
        <v>295.16129032258067</v>
      </c>
      <c r="J55" s="23">
        <v>560</v>
      </c>
      <c r="K55" s="25">
        <f t="shared" si="3"/>
        <v>903.22580645161293</v>
      </c>
      <c r="L55" s="23" t="s">
        <v>33</v>
      </c>
      <c r="M55" s="23" t="s">
        <v>39</v>
      </c>
      <c r="N55" s="23" t="s">
        <v>35</v>
      </c>
      <c r="O55" s="23" t="s">
        <v>45</v>
      </c>
      <c r="P55" s="23" t="s">
        <v>41</v>
      </c>
      <c r="Q55" s="26">
        <v>5</v>
      </c>
      <c r="R55" s="27">
        <v>40000</v>
      </c>
      <c r="S55" s="28">
        <f t="shared" si="4"/>
        <v>43600</v>
      </c>
      <c r="T55" s="17">
        <v>20440</v>
      </c>
      <c r="U55" s="38">
        <v>50.177419354838719</v>
      </c>
      <c r="V55" s="29">
        <v>0.17</v>
      </c>
      <c r="W55" s="17" t="str">
        <f>IF(AND($Q55=Output!$A$3, $O55=Output!$B$3, $S55&lt;=Output!$C$3, $G55&gt;=Output!$D$3), "T", "F")</f>
        <v>F</v>
      </c>
    </row>
    <row r="56" spans="1:23" ht="14.25" customHeight="1" x14ac:dyDescent="0.3">
      <c r="A56" s="23" t="s">
        <v>31</v>
      </c>
      <c r="B56" s="24" t="s">
        <v>160</v>
      </c>
      <c r="C56" s="23">
        <v>4.5999999999999996</v>
      </c>
      <c r="D56" s="23">
        <v>250</v>
      </c>
      <c r="E56" s="25">
        <f t="shared" si="0"/>
        <v>403.22580645161293</v>
      </c>
      <c r="F56" s="23">
        <v>450</v>
      </c>
      <c r="G56" s="25">
        <f t="shared" si="1"/>
        <v>725.80645161290317</v>
      </c>
      <c r="H56" s="23">
        <v>211</v>
      </c>
      <c r="I56" s="25">
        <f t="shared" si="2"/>
        <v>340.32258064516128</v>
      </c>
      <c r="J56" s="23">
        <v>490</v>
      </c>
      <c r="K56" s="25">
        <f t="shared" si="3"/>
        <v>790.32258064516134</v>
      </c>
      <c r="L56" s="23" t="s">
        <v>33</v>
      </c>
      <c r="M56" s="23" t="s">
        <v>34</v>
      </c>
      <c r="N56" s="23" t="s">
        <v>75</v>
      </c>
      <c r="O56" s="23" t="s">
        <v>45</v>
      </c>
      <c r="P56" s="23" t="s">
        <v>49</v>
      </c>
      <c r="Q56" s="26">
        <v>7</v>
      </c>
      <c r="R56" s="27">
        <v>85990</v>
      </c>
      <c r="S56" s="28">
        <f t="shared" si="4"/>
        <v>93729.1</v>
      </c>
      <c r="T56" s="17">
        <v>20440</v>
      </c>
      <c r="U56" s="38">
        <v>57.854838709677423</v>
      </c>
      <c r="V56" s="29">
        <v>0.17</v>
      </c>
      <c r="W56" s="17" t="str">
        <f>IF(AND($Q56=Output!$A$3, $O56=Output!$B$3, $S56&lt;=Output!$C$3, $G56&gt;=Output!$D$3), "T", "F")</f>
        <v>F</v>
      </c>
    </row>
    <row r="57" spans="1:23" ht="14.25" customHeight="1" x14ac:dyDescent="0.3">
      <c r="A57" s="23" t="s">
        <v>46</v>
      </c>
      <c r="B57" s="24" t="s">
        <v>161</v>
      </c>
      <c r="C57" s="23">
        <v>8.3000000000000007</v>
      </c>
      <c r="D57" s="23">
        <v>145</v>
      </c>
      <c r="E57" s="25">
        <f t="shared" si="0"/>
        <v>233.87096774193549</v>
      </c>
      <c r="F57" s="23">
        <v>170</v>
      </c>
      <c r="G57" s="25">
        <f t="shared" si="1"/>
        <v>274.19354838709677</v>
      </c>
      <c r="H57" s="23">
        <v>168</v>
      </c>
      <c r="I57" s="25">
        <f t="shared" si="2"/>
        <v>270.9677419354839</v>
      </c>
      <c r="J57" s="23">
        <v>190</v>
      </c>
      <c r="K57" s="25">
        <f t="shared" si="3"/>
        <v>306.45161290322579</v>
      </c>
      <c r="L57" s="23" t="s">
        <v>33</v>
      </c>
      <c r="M57" s="23" t="s">
        <v>39</v>
      </c>
      <c r="N57" s="23" t="s">
        <v>35</v>
      </c>
      <c r="O57" s="23" t="s">
        <v>40</v>
      </c>
      <c r="P57" s="23" t="s">
        <v>48</v>
      </c>
      <c r="Q57" s="26">
        <v>4</v>
      </c>
      <c r="R57" s="27">
        <v>35921</v>
      </c>
      <c r="S57" s="28">
        <f t="shared" si="4"/>
        <v>39153.89</v>
      </c>
      <c r="T57" s="17">
        <v>20440</v>
      </c>
      <c r="U57" s="38">
        <v>46.064516129032263</v>
      </c>
      <c r="V57" s="29">
        <v>0.17</v>
      </c>
      <c r="W57" s="17" t="str">
        <f>IF(AND($Q57=Output!$A$3, $O57=Output!$B$3, $S57&lt;=Output!$C$3, $G57&gt;=Output!$D$3), "T", "F")</f>
        <v>F</v>
      </c>
    </row>
    <row r="58" spans="1:23" ht="14.25" customHeight="1" x14ac:dyDescent="0.3">
      <c r="A58" s="23" t="s">
        <v>84</v>
      </c>
      <c r="B58" s="24" t="s">
        <v>85</v>
      </c>
      <c r="C58" s="23">
        <v>8.6999999999999993</v>
      </c>
      <c r="D58" s="23">
        <v>150</v>
      </c>
      <c r="E58" s="25">
        <f t="shared" si="0"/>
        <v>241.93548387096774</v>
      </c>
      <c r="F58" s="23">
        <v>250</v>
      </c>
      <c r="G58" s="25">
        <f t="shared" si="1"/>
        <v>403.22580645161293</v>
      </c>
      <c r="H58" s="23">
        <v>180</v>
      </c>
      <c r="I58" s="25">
        <f t="shared" si="2"/>
        <v>290.32258064516128</v>
      </c>
      <c r="J58" s="23">
        <v>380</v>
      </c>
      <c r="K58" s="25">
        <f t="shared" si="3"/>
        <v>612.90322580645159</v>
      </c>
      <c r="L58" s="23" t="s">
        <v>33</v>
      </c>
      <c r="M58" s="23" t="s">
        <v>50</v>
      </c>
      <c r="N58" s="23" t="s">
        <v>35</v>
      </c>
      <c r="O58" s="23" t="s">
        <v>45</v>
      </c>
      <c r="P58" s="23" t="s">
        <v>48</v>
      </c>
      <c r="Q58" s="26">
        <v>5</v>
      </c>
      <c r="R58" s="27">
        <v>37422</v>
      </c>
      <c r="S58" s="28">
        <f t="shared" si="4"/>
        <v>40789.980000000003</v>
      </c>
      <c r="T58" s="17">
        <v>20440</v>
      </c>
      <c r="U58" s="38">
        <v>49.354838709677423</v>
      </c>
      <c r="V58" s="29">
        <v>0.17</v>
      </c>
      <c r="W58" s="17" t="str">
        <f>IF(AND($Q58=Output!$A$3, $O58=Output!$B$3, $S58&lt;=Output!$C$3, $G58&gt;=Output!$D$3), "T", "F")</f>
        <v>F</v>
      </c>
    </row>
    <row r="59" spans="1:23" ht="14.25" customHeight="1" x14ac:dyDescent="0.3">
      <c r="A59" s="23" t="s">
        <v>68</v>
      </c>
      <c r="B59" s="24" t="s">
        <v>162</v>
      </c>
      <c r="C59" s="23">
        <v>12.6</v>
      </c>
      <c r="D59" s="23">
        <v>135</v>
      </c>
      <c r="E59" s="25">
        <f t="shared" si="0"/>
        <v>217.74193548387098</v>
      </c>
      <c r="F59" s="23">
        <v>130</v>
      </c>
      <c r="G59" s="25">
        <f t="shared" si="1"/>
        <v>209.67741935483872</v>
      </c>
      <c r="H59" s="23">
        <v>164</v>
      </c>
      <c r="I59" s="25">
        <f t="shared" si="2"/>
        <v>264.51612903225805</v>
      </c>
      <c r="J59" s="23">
        <v>420</v>
      </c>
      <c r="K59" s="25">
        <f t="shared" si="3"/>
        <v>677.41935483870964</v>
      </c>
      <c r="L59" s="23" t="s">
        <v>86</v>
      </c>
      <c r="M59" s="23" t="s">
        <v>39</v>
      </c>
      <c r="N59" s="23" t="s">
        <v>75</v>
      </c>
      <c r="O59" s="23" t="s">
        <v>40</v>
      </c>
      <c r="P59" s="23" t="s">
        <v>61</v>
      </c>
      <c r="Q59" s="26">
        <v>4</v>
      </c>
      <c r="R59" s="27">
        <v>24790</v>
      </c>
      <c r="S59" s="28">
        <f t="shared" si="4"/>
        <v>27021.100000000002</v>
      </c>
      <c r="T59" s="17">
        <v>20440</v>
      </c>
      <c r="U59" s="38">
        <v>44.967741935483872</v>
      </c>
      <c r="V59" s="29">
        <v>0.17</v>
      </c>
      <c r="W59" s="17" t="str">
        <f>IF(AND($Q59=Output!$A$3, $O59=Output!$B$3, $S59&lt;=Output!$C$3, $G59&gt;=Output!$D$3), "T", "F")</f>
        <v>F</v>
      </c>
    </row>
    <row r="60" spans="1:23" ht="14.25" customHeight="1" x14ac:dyDescent="0.3">
      <c r="A60" s="23" t="s">
        <v>163</v>
      </c>
      <c r="B60" s="24" t="s">
        <v>164</v>
      </c>
      <c r="C60" s="23">
        <v>9.6999999999999993</v>
      </c>
      <c r="D60" s="23">
        <v>150</v>
      </c>
      <c r="E60" s="25">
        <f t="shared" si="0"/>
        <v>241.93548387096774</v>
      </c>
      <c r="F60" s="23">
        <v>250</v>
      </c>
      <c r="G60" s="25">
        <f t="shared" si="1"/>
        <v>403.22580645161293</v>
      </c>
      <c r="H60" s="23">
        <v>180</v>
      </c>
      <c r="I60" s="25">
        <f t="shared" si="2"/>
        <v>290.32258064516128</v>
      </c>
      <c r="J60" s="23">
        <v>380</v>
      </c>
      <c r="K60" s="25">
        <f t="shared" si="3"/>
        <v>612.90322580645159</v>
      </c>
      <c r="L60" s="23" t="s">
        <v>33</v>
      </c>
      <c r="M60" s="23" t="s">
        <v>50</v>
      </c>
      <c r="N60" s="23" t="s">
        <v>35</v>
      </c>
      <c r="O60" s="23" t="s">
        <v>45</v>
      </c>
      <c r="P60" s="23" t="s">
        <v>41</v>
      </c>
      <c r="Q60" s="26">
        <v>5</v>
      </c>
      <c r="R60" s="27">
        <v>40000</v>
      </c>
      <c r="S60" s="28">
        <f t="shared" si="4"/>
        <v>43600</v>
      </c>
      <c r="T60" s="17">
        <v>20440</v>
      </c>
      <c r="U60" s="38">
        <v>49.354838709677423</v>
      </c>
      <c r="V60" s="29">
        <v>0.17</v>
      </c>
      <c r="W60" s="17" t="str">
        <f>IF(AND($Q60=Output!$A$3, $O60=Output!$B$3, $S60&lt;=Output!$C$3, $G60&gt;=Output!$D$3), "T", "F")</f>
        <v>F</v>
      </c>
    </row>
    <row r="61" spans="1:23" ht="14.25" customHeight="1" x14ac:dyDescent="0.3">
      <c r="A61" s="23" t="s">
        <v>31</v>
      </c>
      <c r="B61" s="24" t="s">
        <v>165</v>
      </c>
      <c r="C61" s="23">
        <v>2.5</v>
      </c>
      <c r="D61" s="23">
        <v>261</v>
      </c>
      <c r="E61" s="25">
        <f t="shared" si="0"/>
        <v>420.9677419354839</v>
      </c>
      <c r="F61" s="23">
        <v>505</v>
      </c>
      <c r="G61" s="25">
        <f t="shared" si="1"/>
        <v>814.51612903225805</v>
      </c>
      <c r="H61" s="23">
        <v>188</v>
      </c>
      <c r="I61" s="25">
        <f t="shared" si="2"/>
        <v>303.22580645161293</v>
      </c>
      <c r="J61" s="23">
        <v>550</v>
      </c>
      <c r="K61" s="25">
        <f t="shared" si="3"/>
        <v>887.09677419354841</v>
      </c>
      <c r="L61" s="23" t="s">
        <v>33</v>
      </c>
      <c r="M61" s="23" t="s">
        <v>34</v>
      </c>
      <c r="N61" s="23" t="s">
        <v>75</v>
      </c>
      <c r="O61" s="23" t="s">
        <v>9</v>
      </c>
      <c r="P61" s="23" t="s">
        <v>49</v>
      </c>
      <c r="Q61" s="26">
        <v>5</v>
      </c>
      <c r="R61" s="27">
        <v>96990</v>
      </c>
      <c r="S61" s="28">
        <f t="shared" si="4"/>
        <v>105719.1</v>
      </c>
      <c r="T61" s="17">
        <v>20440</v>
      </c>
      <c r="U61" s="38">
        <v>51.548387096774199</v>
      </c>
      <c r="V61" s="29">
        <v>0.17</v>
      </c>
      <c r="W61" s="17" t="str">
        <f>IF(AND($Q61=Output!$A$3, $O61=Output!$B$3, $S61&lt;=Output!$C$3, $G61&gt;=Output!$D$3), "T", "F")</f>
        <v>F</v>
      </c>
    </row>
    <row r="62" spans="1:23" ht="14.25" customHeight="1" x14ac:dyDescent="0.3">
      <c r="A62" s="23" t="s">
        <v>68</v>
      </c>
      <c r="B62" s="24" t="s">
        <v>87</v>
      </c>
      <c r="C62" s="23">
        <v>11.4</v>
      </c>
      <c r="D62" s="23">
        <v>135</v>
      </c>
      <c r="E62" s="25">
        <f t="shared" si="0"/>
        <v>217.74193548387098</v>
      </c>
      <c r="F62" s="23">
        <v>255</v>
      </c>
      <c r="G62" s="25">
        <f t="shared" si="1"/>
        <v>411.29032258064518</v>
      </c>
      <c r="H62" s="23">
        <v>161</v>
      </c>
      <c r="I62" s="25">
        <f t="shared" si="2"/>
        <v>259.67741935483872</v>
      </c>
      <c r="J62" s="23">
        <v>230</v>
      </c>
      <c r="K62" s="25">
        <f t="shared" si="3"/>
        <v>370.9677419354839</v>
      </c>
      <c r="L62" s="23" t="s">
        <v>33</v>
      </c>
      <c r="M62" s="23" t="s">
        <v>50</v>
      </c>
      <c r="N62" s="23" t="s">
        <v>35</v>
      </c>
      <c r="O62" s="23" t="s">
        <v>40</v>
      </c>
      <c r="P62" s="23" t="s">
        <v>48</v>
      </c>
      <c r="Q62" s="26">
        <v>5</v>
      </c>
      <c r="R62" s="27">
        <v>29234</v>
      </c>
      <c r="S62" s="28">
        <f t="shared" si="4"/>
        <v>31865.06</v>
      </c>
      <c r="T62" s="17">
        <v>20440</v>
      </c>
      <c r="U62" s="38">
        <v>44.145161290322584</v>
      </c>
      <c r="V62" s="29">
        <v>0.17</v>
      </c>
      <c r="W62" s="17" t="str">
        <f>IF(AND($Q62=Output!$A$3, $O62=Output!$B$3, $S62&lt;=Output!$C$3, $G62&gt;=Output!$D$3), "T", "F")</f>
        <v>F</v>
      </c>
    </row>
    <row r="63" spans="1:23" ht="14.25" customHeight="1" x14ac:dyDescent="0.3">
      <c r="A63" s="23" t="s">
        <v>31</v>
      </c>
      <c r="B63" s="24" t="s">
        <v>166</v>
      </c>
      <c r="C63" s="23">
        <v>3.7</v>
      </c>
      <c r="D63" s="23">
        <v>241</v>
      </c>
      <c r="E63" s="25">
        <f t="shared" si="0"/>
        <v>388.70967741935482</v>
      </c>
      <c r="F63" s="23">
        <v>410</v>
      </c>
      <c r="G63" s="25">
        <f t="shared" si="1"/>
        <v>661.29032258064512</v>
      </c>
      <c r="H63" s="23">
        <v>177</v>
      </c>
      <c r="I63" s="25">
        <f t="shared" si="2"/>
        <v>285.48387096774195</v>
      </c>
      <c r="J63" s="23">
        <v>900</v>
      </c>
      <c r="K63" s="25">
        <f t="shared" si="3"/>
        <v>1451.6129032258063</v>
      </c>
      <c r="L63" s="23" t="s">
        <v>33</v>
      </c>
      <c r="M63" s="23" t="s">
        <v>34</v>
      </c>
      <c r="N63" s="23" t="s">
        <v>35</v>
      </c>
      <c r="O63" s="23" t="s">
        <v>45</v>
      </c>
      <c r="P63" s="23" t="s">
        <v>36</v>
      </c>
      <c r="Q63" s="26">
        <v>7</v>
      </c>
      <c r="R63" s="27">
        <v>65620</v>
      </c>
      <c r="S63" s="28">
        <f t="shared" si="4"/>
        <v>71525.8</v>
      </c>
      <c r="T63" s="17">
        <v>20440</v>
      </c>
      <c r="U63" s="38">
        <v>48.532258064516135</v>
      </c>
      <c r="V63" s="29">
        <v>0.17</v>
      </c>
      <c r="W63" s="17" t="str">
        <f>IF(AND($Q63=Output!$A$3, $O63=Output!$B$3, $S63&lt;=Output!$C$3, $G63&gt;=Output!$D$3), "T", "F")</f>
        <v>F</v>
      </c>
    </row>
    <row r="64" spans="1:23" ht="14.25" customHeight="1" x14ac:dyDescent="0.3">
      <c r="A64" s="23" t="s">
        <v>55</v>
      </c>
      <c r="B64" s="24" t="s">
        <v>167</v>
      </c>
      <c r="C64" s="23">
        <v>7.6</v>
      </c>
      <c r="D64" s="23">
        <v>160</v>
      </c>
      <c r="E64" s="25">
        <f t="shared" si="0"/>
        <v>258.06451612903226</v>
      </c>
      <c r="F64" s="23">
        <v>440</v>
      </c>
      <c r="G64" s="25">
        <f t="shared" si="1"/>
        <v>709.67741935483866</v>
      </c>
      <c r="H64" s="23">
        <v>198</v>
      </c>
      <c r="I64" s="25">
        <f t="shared" si="2"/>
        <v>319.35483870967744</v>
      </c>
      <c r="J64" s="23">
        <v>520</v>
      </c>
      <c r="K64" s="25">
        <f t="shared" si="3"/>
        <v>838.70967741935488</v>
      </c>
      <c r="L64" s="23" t="s">
        <v>33</v>
      </c>
      <c r="M64" s="23" t="s">
        <v>50</v>
      </c>
      <c r="N64" s="23" t="s">
        <v>35</v>
      </c>
      <c r="O64" s="23" t="s">
        <v>40</v>
      </c>
      <c r="P64" s="23" t="s">
        <v>41</v>
      </c>
      <c r="Q64" s="26">
        <v>5</v>
      </c>
      <c r="R64" s="27">
        <v>50000</v>
      </c>
      <c r="S64" s="28">
        <f t="shared" si="4"/>
        <v>54500.000000000007</v>
      </c>
      <c r="T64" s="17">
        <v>20440</v>
      </c>
      <c r="U64" s="38">
        <v>54.290322580645167</v>
      </c>
      <c r="V64" s="29">
        <v>0.17</v>
      </c>
      <c r="W64" s="17" t="str">
        <f>IF(AND($Q64=Output!$A$3, $O64=Output!$B$3, $S64&lt;=Output!$C$3, $G64&gt;=Output!$D$3), "T", "F")</f>
        <v>F</v>
      </c>
    </row>
    <row r="65" spans="1:23" ht="14.25" customHeight="1" x14ac:dyDescent="0.3">
      <c r="A65" s="23" t="s">
        <v>168</v>
      </c>
      <c r="B65" s="24" t="s">
        <v>169</v>
      </c>
      <c r="C65" s="23">
        <v>4.8</v>
      </c>
      <c r="D65" s="23">
        <v>200</v>
      </c>
      <c r="E65" s="25">
        <f t="shared" si="0"/>
        <v>322.58064516129031</v>
      </c>
      <c r="F65" s="23">
        <v>365</v>
      </c>
      <c r="G65" s="25">
        <f t="shared" si="1"/>
        <v>588.70967741935488</v>
      </c>
      <c r="H65" s="23">
        <v>232</v>
      </c>
      <c r="I65" s="25">
        <f t="shared" si="2"/>
        <v>374.19354838709677</v>
      </c>
      <c r="J65" s="23">
        <v>340</v>
      </c>
      <c r="K65" s="25">
        <f t="shared" si="3"/>
        <v>548.38709677419354</v>
      </c>
      <c r="L65" s="23" t="s">
        <v>33</v>
      </c>
      <c r="M65" s="23" t="s">
        <v>34</v>
      </c>
      <c r="N65" s="23" t="s">
        <v>35</v>
      </c>
      <c r="O65" s="23" t="s">
        <v>45</v>
      </c>
      <c r="P65" s="23" t="s">
        <v>139</v>
      </c>
      <c r="Q65" s="26">
        <v>5</v>
      </c>
      <c r="R65" s="27">
        <v>75351</v>
      </c>
      <c r="S65" s="28">
        <f t="shared" si="4"/>
        <v>82132.590000000011</v>
      </c>
      <c r="T65" s="17">
        <v>20440</v>
      </c>
      <c r="U65" s="38">
        <v>63.612903225806456</v>
      </c>
      <c r="V65" s="29">
        <v>0.17</v>
      </c>
      <c r="W65" s="17" t="str">
        <f>IF(AND($Q65=Output!$A$3, $O65=Output!$B$3, $S65&lt;=Output!$C$3, $G65&gt;=Output!$D$3), "T", "F")</f>
        <v>F</v>
      </c>
    </row>
    <row r="66" spans="1:23" ht="14.25" customHeight="1" x14ac:dyDescent="0.3">
      <c r="A66" s="23" t="s">
        <v>88</v>
      </c>
      <c r="B66" s="24" t="s">
        <v>89</v>
      </c>
      <c r="C66" s="23">
        <v>7</v>
      </c>
      <c r="D66" s="23">
        <v>180</v>
      </c>
      <c r="E66" s="25">
        <f t="shared" si="0"/>
        <v>290.32258064516128</v>
      </c>
      <c r="F66" s="23">
        <v>450</v>
      </c>
      <c r="G66" s="25">
        <f t="shared" si="1"/>
        <v>725.80645161290317</v>
      </c>
      <c r="H66" s="23">
        <v>200</v>
      </c>
      <c r="I66" s="25">
        <f t="shared" si="2"/>
        <v>322.58064516129031</v>
      </c>
      <c r="J66" s="23">
        <v>430</v>
      </c>
      <c r="K66" s="25">
        <f t="shared" si="3"/>
        <v>693.54838709677415</v>
      </c>
      <c r="L66" s="23" t="s">
        <v>33</v>
      </c>
      <c r="M66" s="23" t="s">
        <v>39</v>
      </c>
      <c r="N66" s="23" t="s">
        <v>35</v>
      </c>
      <c r="O66" s="23" t="s">
        <v>45</v>
      </c>
      <c r="P66" s="23" t="s">
        <v>36</v>
      </c>
      <c r="Q66" s="26">
        <v>5</v>
      </c>
      <c r="R66" s="27">
        <v>54475</v>
      </c>
      <c r="S66" s="28">
        <f t="shared" si="4"/>
        <v>59377.750000000007</v>
      </c>
      <c r="T66" s="17">
        <v>20440</v>
      </c>
      <c r="U66" s="38">
        <v>54.838709677419359</v>
      </c>
      <c r="V66" s="29">
        <v>0.17</v>
      </c>
      <c r="W66" s="17" t="str">
        <f>IF(AND($Q66=Output!$A$3, $O66=Output!$B$3, $S66&lt;=Output!$C$3, $G66&gt;=Output!$D$3), "T", "F")</f>
        <v>F</v>
      </c>
    </row>
    <row r="67" spans="1:23" ht="14.25" customHeight="1" x14ac:dyDescent="0.3">
      <c r="A67" s="23" t="s">
        <v>59</v>
      </c>
      <c r="B67" s="24" t="s">
        <v>170</v>
      </c>
      <c r="C67" s="23">
        <v>4</v>
      </c>
      <c r="D67" s="23">
        <v>250</v>
      </c>
      <c r="E67" s="25">
        <f t="shared" ref="E67:E104" si="5">D67/0.62</f>
        <v>403.22580645161293</v>
      </c>
      <c r="F67" s="23">
        <v>425</v>
      </c>
      <c r="G67" s="25">
        <f t="shared" ref="G67:G104" si="6">F67/0.62</f>
        <v>685.48387096774195</v>
      </c>
      <c r="H67" s="23">
        <v>197</v>
      </c>
      <c r="I67" s="25">
        <f t="shared" ref="I67:I104" si="7">H67/0.62</f>
        <v>317.74193548387098</v>
      </c>
      <c r="J67" s="23">
        <v>890</v>
      </c>
      <c r="K67" s="25">
        <f t="shared" ref="K67:K104" si="8">J67/0.62</f>
        <v>1435.483870967742</v>
      </c>
      <c r="L67" s="23" t="s">
        <v>33</v>
      </c>
      <c r="M67" s="23" t="s">
        <v>34</v>
      </c>
      <c r="N67" s="23" t="s">
        <v>35</v>
      </c>
      <c r="O67" s="23" t="s">
        <v>6</v>
      </c>
      <c r="P67" s="23" t="s">
        <v>49</v>
      </c>
      <c r="Q67" s="26">
        <v>4</v>
      </c>
      <c r="R67" s="27">
        <v>109302</v>
      </c>
      <c r="S67" s="28">
        <f t="shared" ref="S67:S83" si="9">R67*1.09</f>
        <v>119139.18000000001</v>
      </c>
      <c r="T67" s="17">
        <v>20440</v>
      </c>
      <c r="U67" s="38">
        <v>54.016129032258071</v>
      </c>
      <c r="V67" s="29">
        <v>0.17</v>
      </c>
      <c r="W67" s="17" t="str">
        <f>IF(AND($Q67=Output!$A$3, $O67=Output!$B$3, $S67&lt;=Output!$C$3, $G67&gt;=Output!$D$3), "T", "F")</f>
        <v>F</v>
      </c>
    </row>
    <row r="68" spans="1:23" ht="14.25" customHeight="1" x14ac:dyDescent="0.3">
      <c r="A68" s="23" t="s">
        <v>55</v>
      </c>
      <c r="B68" s="24" t="s">
        <v>171</v>
      </c>
      <c r="C68" s="23">
        <v>14</v>
      </c>
      <c r="D68" s="23">
        <v>123</v>
      </c>
      <c r="E68" s="25">
        <f t="shared" si="5"/>
        <v>198.38709677419354</v>
      </c>
      <c r="F68" s="23">
        <v>190</v>
      </c>
      <c r="G68" s="25">
        <f t="shared" si="6"/>
        <v>306.45161290322579</v>
      </c>
      <c r="H68" s="23">
        <v>200</v>
      </c>
      <c r="I68" s="25">
        <f t="shared" si="7"/>
        <v>322.58064516129031</v>
      </c>
      <c r="J68" s="23">
        <v>190</v>
      </c>
      <c r="K68" s="25">
        <f t="shared" si="8"/>
        <v>306.45161290322579</v>
      </c>
      <c r="L68" s="23" t="s">
        <v>33</v>
      </c>
      <c r="M68" s="23" t="s">
        <v>50</v>
      </c>
      <c r="N68" s="23" t="s">
        <v>172</v>
      </c>
      <c r="O68" s="23" t="s">
        <v>90</v>
      </c>
      <c r="P68" s="23" t="s">
        <v>71</v>
      </c>
      <c r="Q68" s="26">
        <v>7</v>
      </c>
      <c r="R68" s="27">
        <v>33246</v>
      </c>
      <c r="S68" s="28">
        <f t="shared" si="9"/>
        <v>36238.14</v>
      </c>
      <c r="T68" s="17">
        <v>20440</v>
      </c>
      <c r="U68" s="38">
        <v>54.838709677419359</v>
      </c>
      <c r="V68" s="29">
        <v>0.17</v>
      </c>
      <c r="W68" s="17" t="str">
        <f>IF(AND($Q68=Output!$A$3, $O68=Output!$B$3, $S68&lt;=Output!$C$3, $G68&gt;=Output!$D$3), "T", "F")</f>
        <v>F</v>
      </c>
    </row>
    <row r="69" spans="1:23" ht="14.25" customHeight="1" x14ac:dyDescent="0.3">
      <c r="A69" s="23" t="s">
        <v>31</v>
      </c>
      <c r="B69" s="24" t="s">
        <v>173</v>
      </c>
      <c r="C69" s="23">
        <v>5</v>
      </c>
      <c r="D69" s="23">
        <v>190</v>
      </c>
      <c r="E69" s="25">
        <f t="shared" si="5"/>
        <v>306.45161290322579</v>
      </c>
      <c r="F69" s="23">
        <v>460</v>
      </c>
      <c r="G69" s="25">
        <f t="shared" si="6"/>
        <v>741.9354838709678</v>
      </c>
      <c r="H69" s="23">
        <v>261</v>
      </c>
      <c r="I69" s="25">
        <f t="shared" si="7"/>
        <v>420.9677419354839</v>
      </c>
      <c r="J69" s="23">
        <v>710</v>
      </c>
      <c r="K69" s="25">
        <f t="shared" si="8"/>
        <v>1145.1612903225807</v>
      </c>
      <c r="L69" s="23" t="s">
        <v>33</v>
      </c>
      <c r="M69" s="23" t="s">
        <v>34</v>
      </c>
      <c r="N69" s="23" t="s">
        <v>35</v>
      </c>
      <c r="O69" s="23" t="s">
        <v>70</v>
      </c>
      <c r="P69" s="23" t="s">
        <v>71</v>
      </c>
      <c r="Q69" s="26">
        <v>6</v>
      </c>
      <c r="R69" s="27">
        <v>55000</v>
      </c>
      <c r="S69" s="28">
        <f t="shared" si="9"/>
        <v>59950.000000000007</v>
      </c>
      <c r="T69" s="17">
        <v>20440</v>
      </c>
      <c r="U69" s="38">
        <v>71.56451612903227</v>
      </c>
      <c r="V69" s="29">
        <v>0.17</v>
      </c>
      <c r="W69" s="17" t="str">
        <f>IF(AND($Q69=Output!$A$3, $O69=Output!$B$3, $S69&lt;=Output!$C$3, $G69&gt;=Output!$D$3), "T", "F")</f>
        <v>F</v>
      </c>
    </row>
    <row r="70" spans="1:23" ht="14.25" customHeight="1" x14ac:dyDescent="0.3">
      <c r="A70" s="23" t="s">
        <v>68</v>
      </c>
      <c r="B70" s="24" t="s">
        <v>91</v>
      </c>
      <c r="C70" s="23">
        <v>22.4</v>
      </c>
      <c r="D70" s="23">
        <v>130</v>
      </c>
      <c r="E70" s="25">
        <f t="shared" si="5"/>
        <v>209.67741935483872</v>
      </c>
      <c r="F70" s="23">
        <v>160</v>
      </c>
      <c r="G70" s="25">
        <f t="shared" si="6"/>
        <v>258.06451612903226</v>
      </c>
      <c r="H70" s="23">
        <v>194</v>
      </c>
      <c r="I70" s="25">
        <f t="shared" si="7"/>
        <v>312.90322580645159</v>
      </c>
      <c r="J70" s="23">
        <v>0</v>
      </c>
      <c r="K70" s="25">
        <f t="shared" si="8"/>
        <v>0</v>
      </c>
      <c r="L70" s="23" t="s">
        <v>86</v>
      </c>
      <c r="M70" s="23" t="s">
        <v>50</v>
      </c>
      <c r="N70" s="23" t="s">
        <v>75</v>
      </c>
      <c r="O70" s="23" t="s">
        <v>90</v>
      </c>
      <c r="P70" s="23" t="s">
        <v>71</v>
      </c>
      <c r="Q70" s="26">
        <v>5</v>
      </c>
      <c r="R70" s="27">
        <v>38000</v>
      </c>
      <c r="S70" s="28">
        <f t="shared" si="9"/>
        <v>41420</v>
      </c>
      <c r="T70" s="17">
        <v>20440</v>
      </c>
      <c r="U70" s="38">
        <v>53.193548387096776</v>
      </c>
      <c r="V70" s="29">
        <v>0.17</v>
      </c>
      <c r="W70" s="17" t="str">
        <f>IF(AND($Q70=Output!$A$3, $O70=Output!$B$3, $S70&lt;=Output!$C$3, $G70&gt;=Output!$D$3), "T", "F")</f>
        <v>F</v>
      </c>
    </row>
    <row r="71" spans="1:23" ht="14.25" customHeight="1" x14ac:dyDescent="0.3">
      <c r="A71" s="23" t="s">
        <v>88</v>
      </c>
      <c r="B71" s="24" t="s">
        <v>174</v>
      </c>
      <c r="C71" s="23">
        <v>6</v>
      </c>
      <c r="D71" s="23">
        <v>180</v>
      </c>
      <c r="E71" s="25">
        <f t="shared" si="5"/>
        <v>290.32258064516128</v>
      </c>
      <c r="F71" s="23">
        <v>430</v>
      </c>
      <c r="G71" s="25">
        <f t="shared" si="6"/>
        <v>693.54838709677415</v>
      </c>
      <c r="H71" s="23">
        <v>209</v>
      </c>
      <c r="I71" s="25">
        <f t="shared" si="7"/>
        <v>337.09677419354841</v>
      </c>
      <c r="J71" s="23">
        <v>410</v>
      </c>
      <c r="K71" s="25">
        <f t="shared" si="8"/>
        <v>661.29032258064512</v>
      </c>
      <c r="L71" s="23" t="s">
        <v>33</v>
      </c>
      <c r="M71" s="23" t="s">
        <v>34</v>
      </c>
      <c r="N71" s="23" t="s">
        <v>35</v>
      </c>
      <c r="O71" s="23" t="s">
        <v>45</v>
      </c>
      <c r="P71" s="23" t="s">
        <v>36</v>
      </c>
      <c r="Q71" s="26">
        <v>5</v>
      </c>
      <c r="R71" s="27">
        <v>62900</v>
      </c>
      <c r="S71" s="28">
        <f t="shared" si="9"/>
        <v>68561</v>
      </c>
      <c r="T71" s="17">
        <v>20440</v>
      </c>
      <c r="U71" s="38">
        <v>57.306451612903231</v>
      </c>
      <c r="V71" s="29">
        <v>0.17</v>
      </c>
      <c r="W71" s="17" t="str">
        <f>IF(AND($Q71=Output!$A$3, $O71=Output!$B$3, $S71&lt;=Output!$C$3, $G71&gt;=Output!$D$3), "T", "F")</f>
        <v>F</v>
      </c>
    </row>
    <row r="72" spans="1:23" ht="14.25" customHeight="1" x14ac:dyDescent="0.3">
      <c r="A72" s="23" t="s">
        <v>43</v>
      </c>
      <c r="B72" s="24" t="s">
        <v>175</v>
      </c>
      <c r="C72" s="23">
        <v>6.9</v>
      </c>
      <c r="D72" s="23">
        <v>160</v>
      </c>
      <c r="E72" s="25">
        <f t="shared" si="5"/>
        <v>258.06451612903226</v>
      </c>
      <c r="F72" s="23">
        <v>230</v>
      </c>
      <c r="G72" s="25">
        <f t="shared" si="6"/>
        <v>370.9677419354839</v>
      </c>
      <c r="H72" s="23">
        <v>165</v>
      </c>
      <c r="I72" s="25">
        <f t="shared" si="7"/>
        <v>266.12903225806451</v>
      </c>
      <c r="J72" s="23">
        <v>260</v>
      </c>
      <c r="K72" s="25">
        <f t="shared" si="8"/>
        <v>419.35483870967744</v>
      </c>
      <c r="L72" s="23" t="s">
        <v>33</v>
      </c>
      <c r="M72" s="23" t="s">
        <v>39</v>
      </c>
      <c r="N72" s="23" t="s">
        <v>35</v>
      </c>
      <c r="O72" s="23" t="s">
        <v>40</v>
      </c>
      <c r="P72" s="23" t="s">
        <v>48</v>
      </c>
      <c r="Q72" s="26">
        <v>4</v>
      </c>
      <c r="R72" s="27">
        <v>41526</v>
      </c>
      <c r="S72" s="28">
        <f t="shared" si="9"/>
        <v>45263.340000000004</v>
      </c>
      <c r="T72" s="17">
        <v>20440</v>
      </c>
      <c r="U72" s="38">
        <v>45.241935483870968</v>
      </c>
      <c r="V72" s="29">
        <v>0.17</v>
      </c>
      <c r="W72" s="17" t="str">
        <f>IF(AND($Q72=Output!$A$3, $O72=Output!$B$3, $S72&lt;=Output!$C$3, $G72&gt;=Output!$D$3), "T", "F")</f>
        <v>F</v>
      </c>
    </row>
    <row r="73" spans="1:23" ht="14.25" customHeight="1" x14ac:dyDescent="0.3">
      <c r="A73" s="23" t="s">
        <v>64</v>
      </c>
      <c r="B73" s="24" t="s">
        <v>176</v>
      </c>
      <c r="C73" s="23">
        <v>7</v>
      </c>
      <c r="D73" s="23">
        <v>160</v>
      </c>
      <c r="E73" s="25">
        <f t="shared" si="5"/>
        <v>258.06451612903226</v>
      </c>
      <c r="F73" s="23">
        <v>400</v>
      </c>
      <c r="G73" s="25">
        <f t="shared" si="6"/>
        <v>645.16129032258061</v>
      </c>
      <c r="H73" s="23">
        <v>193</v>
      </c>
      <c r="I73" s="25">
        <f t="shared" si="7"/>
        <v>311.29032258064518</v>
      </c>
      <c r="J73" s="23">
        <v>540</v>
      </c>
      <c r="K73" s="25">
        <f t="shared" si="8"/>
        <v>870.9677419354839</v>
      </c>
      <c r="L73" s="23" t="s">
        <v>33</v>
      </c>
      <c r="M73" s="23" t="s">
        <v>34</v>
      </c>
      <c r="N73" s="23" t="s">
        <v>35</v>
      </c>
      <c r="O73" s="23" t="s">
        <v>45</v>
      </c>
      <c r="P73" s="23" t="s">
        <v>41</v>
      </c>
      <c r="Q73" s="26">
        <v>5</v>
      </c>
      <c r="R73" s="27">
        <v>45000</v>
      </c>
      <c r="S73" s="28">
        <f t="shared" si="9"/>
        <v>49050</v>
      </c>
      <c r="T73" s="17">
        <v>20440</v>
      </c>
      <c r="U73" s="38">
        <v>52.919354838709687</v>
      </c>
      <c r="V73" s="29">
        <v>0.17</v>
      </c>
      <c r="W73" s="17" t="str">
        <f>IF(AND($Q73=Output!$A$3, $O73=Output!$B$3, $S73&lt;=Output!$C$3, $G73&gt;=Output!$D$3), "T", "F")</f>
        <v>F</v>
      </c>
    </row>
    <row r="74" spans="1:23" ht="14.25" customHeight="1" x14ac:dyDescent="0.3">
      <c r="A74" s="23" t="s">
        <v>59</v>
      </c>
      <c r="B74" s="24" t="s">
        <v>92</v>
      </c>
      <c r="C74" s="23">
        <v>3.5</v>
      </c>
      <c r="D74" s="23">
        <v>250</v>
      </c>
      <c r="E74" s="25">
        <f t="shared" si="5"/>
        <v>403.22580645161293</v>
      </c>
      <c r="F74" s="23">
        <v>385</v>
      </c>
      <c r="G74" s="25">
        <f t="shared" si="6"/>
        <v>620.9677419354839</v>
      </c>
      <c r="H74" s="23">
        <v>217</v>
      </c>
      <c r="I74" s="25">
        <f t="shared" si="7"/>
        <v>350</v>
      </c>
      <c r="J74" s="23">
        <v>770</v>
      </c>
      <c r="K74" s="25">
        <f t="shared" si="8"/>
        <v>1241.9354838709678</v>
      </c>
      <c r="L74" s="23" t="s">
        <v>33</v>
      </c>
      <c r="M74" s="23" t="s">
        <v>34</v>
      </c>
      <c r="N74" s="23" t="s">
        <v>35</v>
      </c>
      <c r="O74" s="23" t="s">
        <v>93</v>
      </c>
      <c r="P74" s="23" t="s">
        <v>49</v>
      </c>
      <c r="Q74" s="26">
        <v>4</v>
      </c>
      <c r="R74" s="27">
        <v>150000</v>
      </c>
      <c r="S74" s="28">
        <f t="shared" si="9"/>
        <v>163500</v>
      </c>
      <c r="T74" s="17">
        <v>20440</v>
      </c>
      <c r="U74" s="38">
        <v>59.500000000000007</v>
      </c>
      <c r="V74" s="29">
        <v>0.17</v>
      </c>
      <c r="W74" s="17" t="str">
        <f>IF(AND($Q74=Output!$A$3, $O74=Output!$B$3, $S74&lt;=Output!$C$3, $G74&gt;=Output!$D$3), "T", "F")</f>
        <v>F</v>
      </c>
    </row>
    <row r="75" spans="1:23" ht="14.25" customHeight="1" x14ac:dyDescent="0.3">
      <c r="A75" s="23" t="s">
        <v>177</v>
      </c>
      <c r="B75" s="24" t="s">
        <v>178</v>
      </c>
      <c r="C75" s="23">
        <v>5.5</v>
      </c>
      <c r="D75" s="23">
        <v>190</v>
      </c>
      <c r="E75" s="25">
        <f t="shared" si="5"/>
        <v>306.45161290322579</v>
      </c>
      <c r="F75" s="23">
        <v>390</v>
      </c>
      <c r="G75" s="25">
        <f t="shared" si="6"/>
        <v>629.0322580645161</v>
      </c>
      <c r="H75" s="23">
        <v>244</v>
      </c>
      <c r="I75" s="25">
        <f t="shared" si="7"/>
        <v>393.54838709677421</v>
      </c>
      <c r="J75" s="23">
        <v>460</v>
      </c>
      <c r="K75" s="25">
        <f t="shared" si="8"/>
        <v>741.9354838709678</v>
      </c>
      <c r="L75" s="23" t="s">
        <v>33</v>
      </c>
      <c r="M75" s="23" t="s">
        <v>34</v>
      </c>
      <c r="N75" s="23" t="s">
        <v>35</v>
      </c>
      <c r="O75" s="23" t="s">
        <v>45</v>
      </c>
      <c r="P75" s="23" t="s">
        <v>139</v>
      </c>
      <c r="Q75" s="26">
        <v>5</v>
      </c>
      <c r="R75" s="27">
        <v>64000</v>
      </c>
      <c r="S75" s="28">
        <f t="shared" si="9"/>
        <v>69760</v>
      </c>
      <c r="T75" s="17">
        <v>20440</v>
      </c>
      <c r="U75" s="38">
        <v>66.903225806451616</v>
      </c>
      <c r="V75" s="29">
        <v>0.17</v>
      </c>
      <c r="W75" s="17" t="str">
        <f>IF(AND($Q75=Output!$A$3, $O75=Output!$B$3, $S75&lt;=Output!$C$3, $G75&gt;=Output!$D$3), "T", "F")</f>
        <v>F</v>
      </c>
    </row>
    <row r="76" spans="1:23" ht="14.25" customHeight="1" x14ac:dyDescent="0.3">
      <c r="A76" s="23" t="s">
        <v>179</v>
      </c>
      <c r="B76" s="24" t="s">
        <v>180</v>
      </c>
      <c r="C76" s="23">
        <v>9</v>
      </c>
      <c r="D76" s="23">
        <v>140</v>
      </c>
      <c r="E76" s="25">
        <f t="shared" si="5"/>
        <v>225.80645161290323</v>
      </c>
      <c r="F76" s="23">
        <v>225</v>
      </c>
      <c r="G76" s="25">
        <f t="shared" si="6"/>
        <v>362.90322580645159</v>
      </c>
      <c r="H76" s="23">
        <v>156</v>
      </c>
      <c r="I76" s="25">
        <f t="shared" si="7"/>
        <v>251.61290322580646</v>
      </c>
      <c r="J76" s="23">
        <v>270</v>
      </c>
      <c r="K76" s="25">
        <f t="shared" si="8"/>
        <v>435.48387096774195</v>
      </c>
      <c r="L76" s="23" t="s">
        <v>33</v>
      </c>
      <c r="M76" s="23" t="s">
        <v>50</v>
      </c>
      <c r="N76" s="23" t="s">
        <v>35</v>
      </c>
      <c r="O76" s="23" t="s">
        <v>40</v>
      </c>
      <c r="P76" s="23" t="s">
        <v>41</v>
      </c>
      <c r="Q76" s="26">
        <v>5</v>
      </c>
      <c r="R76" s="27">
        <v>25500</v>
      </c>
      <c r="S76" s="28">
        <f t="shared" si="9"/>
        <v>27795.000000000004</v>
      </c>
      <c r="T76" s="17">
        <v>20440</v>
      </c>
      <c r="U76" s="38">
        <v>42.774193548387103</v>
      </c>
      <c r="V76" s="29">
        <v>0.17</v>
      </c>
      <c r="W76" s="17" t="str">
        <f>IF(AND($Q76=Output!$A$3, $O76=Output!$B$3, $S76&lt;=Output!$C$3, $G76&gt;=Output!$D$3), "T", "F")</f>
        <v>F</v>
      </c>
    </row>
    <row r="77" spans="1:23" ht="14.25" customHeight="1" x14ac:dyDescent="0.3">
      <c r="A77" s="23" t="s">
        <v>67</v>
      </c>
      <c r="B77" s="24" t="s">
        <v>181</v>
      </c>
      <c r="C77" s="23">
        <v>9.8000000000000007</v>
      </c>
      <c r="D77" s="23">
        <v>155</v>
      </c>
      <c r="E77" s="25">
        <f t="shared" si="5"/>
        <v>250</v>
      </c>
      <c r="F77" s="23">
        <v>235</v>
      </c>
      <c r="G77" s="25">
        <f t="shared" si="6"/>
        <v>379.03225806451616</v>
      </c>
      <c r="H77" s="23">
        <v>167</v>
      </c>
      <c r="I77" s="25">
        <f t="shared" si="7"/>
        <v>269.35483870967744</v>
      </c>
      <c r="J77" s="23">
        <v>230</v>
      </c>
      <c r="K77" s="25">
        <f t="shared" si="8"/>
        <v>370.9677419354839</v>
      </c>
      <c r="L77" s="23" t="s">
        <v>33</v>
      </c>
      <c r="M77" s="23" t="s">
        <v>50</v>
      </c>
      <c r="N77" s="23" t="s">
        <v>35</v>
      </c>
      <c r="O77" s="23" t="s">
        <v>45</v>
      </c>
      <c r="P77" s="23" t="s">
        <v>41</v>
      </c>
      <c r="Q77" s="26">
        <v>5</v>
      </c>
      <c r="R77" s="27">
        <v>34400</v>
      </c>
      <c r="S77" s="28">
        <f t="shared" si="9"/>
        <v>37496</v>
      </c>
      <c r="T77" s="17">
        <v>20440</v>
      </c>
      <c r="U77" s="38">
        <v>45.790322580645167</v>
      </c>
      <c r="V77" s="29">
        <v>0.17</v>
      </c>
      <c r="W77" s="17" t="str">
        <f>IF(AND($Q77=Output!$A$3, $O77=Output!$B$3, $S77&lt;=Output!$C$3, $G77&gt;=Output!$D$3), "T", "F")</f>
        <v>F</v>
      </c>
    </row>
    <row r="78" spans="1:23" ht="14.25" customHeight="1" x14ac:dyDescent="0.3">
      <c r="A78" s="23" t="s">
        <v>52</v>
      </c>
      <c r="B78" s="24" t="s">
        <v>94</v>
      </c>
      <c r="C78" s="23">
        <v>6.3</v>
      </c>
      <c r="D78" s="23">
        <v>180</v>
      </c>
      <c r="E78" s="25">
        <f t="shared" si="5"/>
        <v>290.32258064516128</v>
      </c>
      <c r="F78" s="23">
        <v>410</v>
      </c>
      <c r="G78" s="25">
        <f t="shared" si="6"/>
        <v>661.29032258064512</v>
      </c>
      <c r="H78" s="23">
        <v>188</v>
      </c>
      <c r="I78" s="25">
        <f t="shared" si="7"/>
        <v>303.22580645161293</v>
      </c>
      <c r="J78" s="23">
        <v>550</v>
      </c>
      <c r="K78" s="25">
        <f t="shared" si="8"/>
        <v>887.09677419354841</v>
      </c>
      <c r="L78" s="23" t="s">
        <v>33</v>
      </c>
      <c r="M78" s="23" t="s">
        <v>34</v>
      </c>
      <c r="N78" s="23" t="s">
        <v>35</v>
      </c>
      <c r="O78" s="23" t="s">
        <v>45</v>
      </c>
      <c r="P78" s="23" t="s">
        <v>36</v>
      </c>
      <c r="Q78" s="26">
        <v>5</v>
      </c>
      <c r="R78" s="27">
        <v>57500</v>
      </c>
      <c r="S78" s="28">
        <f t="shared" si="9"/>
        <v>62675.000000000007</v>
      </c>
      <c r="T78" s="17">
        <v>20440</v>
      </c>
      <c r="U78" s="38">
        <v>51.548387096774199</v>
      </c>
      <c r="V78" s="29">
        <v>0.17</v>
      </c>
      <c r="W78" s="17" t="str">
        <f>IF(AND($Q78=Output!$A$3, $O78=Output!$B$3, $S78&lt;=Output!$C$3, $G78&gt;=Output!$D$3), "T", "F")</f>
        <v>F</v>
      </c>
    </row>
    <row r="79" spans="1:23" ht="14.25" customHeight="1" x14ac:dyDescent="0.3">
      <c r="A79" s="23" t="s">
        <v>182</v>
      </c>
      <c r="B79" s="24" t="s">
        <v>183</v>
      </c>
      <c r="C79" s="23">
        <v>12.7</v>
      </c>
      <c r="D79" s="23">
        <v>130</v>
      </c>
      <c r="E79" s="25">
        <f t="shared" si="5"/>
        <v>209.67741935483872</v>
      </c>
      <c r="F79" s="23">
        <v>95</v>
      </c>
      <c r="G79" s="25">
        <f t="shared" si="6"/>
        <v>153.2258064516129</v>
      </c>
      <c r="H79" s="23">
        <v>176</v>
      </c>
      <c r="I79" s="25">
        <f t="shared" si="7"/>
        <v>283.87096774193549</v>
      </c>
      <c r="J79" s="23">
        <v>340</v>
      </c>
      <c r="K79" s="25">
        <f t="shared" si="8"/>
        <v>548.38709677419354</v>
      </c>
      <c r="L79" s="23" t="s">
        <v>86</v>
      </c>
      <c r="M79" s="23" t="s">
        <v>39</v>
      </c>
      <c r="N79" s="23" t="s">
        <v>75</v>
      </c>
      <c r="O79" s="23" t="s">
        <v>40</v>
      </c>
      <c r="P79" s="23" t="s">
        <v>61</v>
      </c>
      <c r="Q79" s="26">
        <v>4</v>
      </c>
      <c r="R79" s="27">
        <v>22030</v>
      </c>
      <c r="S79" s="28">
        <f t="shared" si="9"/>
        <v>24012.7</v>
      </c>
      <c r="T79" s="17">
        <v>20440</v>
      </c>
      <c r="U79" s="38">
        <v>48.258064516129039</v>
      </c>
      <c r="V79" s="29">
        <v>0.17</v>
      </c>
      <c r="W79" s="17" t="str">
        <f>IF(AND($Q79=Output!$A$3, $O79=Output!$B$3, $S79&lt;=Output!$C$3, $G79&gt;=Output!$D$3), "T", "F")</f>
        <v>F</v>
      </c>
    </row>
    <row r="80" spans="1:23" ht="14.25" customHeight="1" x14ac:dyDescent="0.3">
      <c r="A80" s="23" t="s">
        <v>88</v>
      </c>
      <c r="B80" s="24" t="s">
        <v>184</v>
      </c>
      <c r="C80" s="23">
        <v>6</v>
      </c>
      <c r="D80" s="23">
        <v>180</v>
      </c>
      <c r="E80" s="25">
        <f t="shared" si="5"/>
        <v>290.32258064516128</v>
      </c>
      <c r="F80" s="23">
        <v>340</v>
      </c>
      <c r="G80" s="25">
        <f t="shared" si="6"/>
        <v>548.38709677419354</v>
      </c>
      <c r="H80" s="23">
        <v>206</v>
      </c>
      <c r="I80" s="25">
        <f t="shared" si="7"/>
        <v>332.25806451612902</v>
      </c>
      <c r="J80" s="23">
        <v>360</v>
      </c>
      <c r="K80" s="25">
        <f t="shared" si="8"/>
        <v>580.64516129032256</v>
      </c>
      <c r="L80" s="23" t="s">
        <v>33</v>
      </c>
      <c r="M80" s="23" t="s">
        <v>34</v>
      </c>
      <c r="N80" s="23" t="s">
        <v>35</v>
      </c>
      <c r="O80" s="23" t="s">
        <v>45</v>
      </c>
      <c r="P80" s="23" t="s">
        <v>36</v>
      </c>
      <c r="Q80" s="26">
        <v>5</v>
      </c>
      <c r="R80" s="27">
        <v>54000</v>
      </c>
      <c r="S80" s="28">
        <f t="shared" si="9"/>
        <v>58860.000000000007</v>
      </c>
      <c r="T80" s="17">
        <v>20440</v>
      </c>
      <c r="U80" s="38">
        <v>56.483870967741936</v>
      </c>
      <c r="V80" s="29">
        <v>0.17</v>
      </c>
      <c r="W80" s="17" t="str">
        <f>IF(AND($Q80=Output!$A$3, $O80=Output!$B$3, $S80&lt;=Output!$C$3, $G80&gt;=Output!$D$3), "T", "F")</f>
        <v>F</v>
      </c>
    </row>
    <row r="81" spans="1:23" ht="14.25" customHeight="1" x14ac:dyDescent="0.3">
      <c r="A81" s="23" t="s">
        <v>59</v>
      </c>
      <c r="B81" s="24" t="s">
        <v>185</v>
      </c>
      <c r="C81" s="23">
        <v>3.2</v>
      </c>
      <c r="D81" s="23">
        <v>260</v>
      </c>
      <c r="E81" s="25">
        <f t="shared" si="5"/>
        <v>419.35483870967744</v>
      </c>
      <c r="F81" s="23">
        <v>390</v>
      </c>
      <c r="G81" s="25">
        <f t="shared" si="6"/>
        <v>629.0322580645161</v>
      </c>
      <c r="H81" s="23">
        <v>215</v>
      </c>
      <c r="I81" s="25">
        <f t="shared" si="7"/>
        <v>346.77419354838707</v>
      </c>
      <c r="J81" s="23">
        <v>810</v>
      </c>
      <c r="K81" s="25">
        <f t="shared" si="8"/>
        <v>1306.4516129032259</v>
      </c>
      <c r="L81" s="23" t="s">
        <v>33</v>
      </c>
      <c r="M81" s="23" t="s">
        <v>34</v>
      </c>
      <c r="N81" s="23" t="s">
        <v>35</v>
      </c>
      <c r="O81" s="23" t="s">
        <v>6</v>
      </c>
      <c r="P81" s="23" t="s">
        <v>49</v>
      </c>
      <c r="Q81" s="26">
        <v>4</v>
      </c>
      <c r="R81" s="27">
        <v>148301</v>
      </c>
      <c r="S81" s="28">
        <f t="shared" si="9"/>
        <v>161648.09000000003</v>
      </c>
      <c r="T81" s="17">
        <v>20440</v>
      </c>
      <c r="U81" s="38">
        <v>58.951612903225808</v>
      </c>
      <c r="V81" s="29">
        <v>0.17</v>
      </c>
      <c r="W81" s="17" t="str">
        <f>IF(AND($Q81=Output!$A$3, $O81=Output!$B$3, $S81&lt;=Output!$C$3, $G81&gt;=Output!$D$3), "T", "F")</f>
        <v>F</v>
      </c>
    </row>
    <row r="82" spans="1:23" ht="14.25" customHeight="1" x14ac:dyDescent="0.3">
      <c r="A82" s="23" t="s">
        <v>37</v>
      </c>
      <c r="B82" s="24" t="s">
        <v>95</v>
      </c>
      <c r="C82" s="23">
        <v>7.3</v>
      </c>
      <c r="D82" s="23">
        <v>160</v>
      </c>
      <c r="E82" s="25">
        <f t="shared" si="5"/>
        <v>258.06451612903226</v>
      </c>
      <c r="F82" s="23">
        <v>340</v>
      </c>
      <c r="G82" s="25">
        <f t="shared" si="6"/>
        <v>548.38709677419354</v>
      </c>
      <c r="H82" s="23">
        <v>171</v>
      </c>
      <c r="I82" s="25">
        <f t="shared" si="7"/>
        <v>275.80645161290323</v>
      </c>
      <c r="J82" s="23">
        <v>470</v>
      </c>
      <c r="K82" s="25">
        <f t="shared" si="8"/>
        <v>758.06451612903231</v>
      </c>
      <c r="L82" s="23" t="s">
        <v>33</v>
      </c>
      <c r="M82" s="23" t="s">
        <v>39</v>
      </c>
      <c r="N82" s="23" t="s">
        <v>35</v>
      </c>
      <c r="O82" s="23" t="s">
        <v>40</v>
      </c>
      <c r="P82" s="23" t="s">
        <v>41</v>
      </c>
      <c r="Q82" s="26">
        <v>5</v>
      </c>
      <c r="R82" s="27">
        <v>38987</v>
      </c>
      <c r="S82" s="28">
        <f t="shared" si="9"/>
        <v>42495.83</v>
      </c>
      <c r="T82" s="17">
        <v>20440</v>
      </c>
      <c r="U82" s="38">
        <v>46.887096774193552</v>
      </c>
      <c r="V82" s="29">
        <v>0.17</v>
      </c>
      <c r="W82" s="17" t="str">
        <f>IF(AND($Q82=Output!$A$3, $O82=Output!$B$3, $S82&lt;=Output!$C$3, $G82&gt;=Output!$D$3), "T", "F")</f>
        <v>F</v>
      </c>
    </row>
    <row r="83" spans="1:23" ht="14.25" customHeight="1" x14ac:dyDescent="0.3">
      <c r="A83" s="23" t="s">
        <v>31</v>
      </c>
      <c r="B83" s="24" t="s">
        <v>186</v>
      </c>
      <c r="C83" s="23">
        <v>2.8</v>
      </c>
      <c r="D83" s="23">
        <v>250</v>
      </c>
      <c r="E83" s="25">
        <f t="shared" si="5"/>
        <v>403.22580645161293</v>
      </c>
      <c r="F83" s="23">
        <v>440</v>
      </c>
      <c r="G83" s="25">
        <f t="shared" si="6"/>
        <v>709.67741935483866</v>
      </c>
      <c r="H83" s="23">
        <v>216</v>
      </c>
      <c r="I83" s="25">
        <f t="shared" si="7"/>
        <v>348.38709677419354</v>
      </c>
      <c r="J83" s="23">
        <v>480</v>
      </c>
      <c r="K83" s="25">
        <f t="shared" si="8"/>
        <v>774.19354838709683</v>
      </c>
      <c r="L83" s="23" t="s">
        <v>33</v>
      </c>
      <c r="M83" s="23" t="s">
        <v>34</v>
      </c>
      <c r="N83" s="23" t="s">
        <v>75</v>
      </c>
      <c r="O83" s="23" t="s">
        <v>45</v>
      </c>
      <c r="P83" s="23" t="s">
        <v>49</v>
      </c>
      <c r="Q83" s="26">
        <v>7</v>
      </c>
      <c r="R83" s="27">
        <v>102990</v>
      </c>
      <c r="S83" s="28">
        <f t="shared" si="9"/>
        <v>112259.1</v>
      </c>
      <c r="T83" s="17">
        <v>20440</v>
      </c>
      <c r="U83" s="38">
        <v>59.225806451612904</v>
      </c>
      <c r="V83" s="29">
        <v>0.17</v>
      </c>
      <c r="W83" s="17" t="str">
        <f>IF(AND($Q83=Output!$A$3, $O83=Output!$B$3, $S83&lt;=Output!$C$3, $G83&gt;=Output!$D$3), "T", "F")</f>
        <v>F</v>
      </c>
    </row>
    <row r="84" spans="1:23" ht="14.25" customHeight="1" x14ac:dyDescent="0.3">
      <c r="A84" s="23" t="s">
        <v>182</v>
      </c>
      <c r="B84" s="24" t="s">
        <v>187</v>
      </c>
      <c r="C84" s="23">
        <v>11.6</v>
      </c>
      <c r="D84" s="23">
        <v>130</v>
      </c>
      <c r="E84" s="25">
        <f t="shared" si="5"/>
        <v>209.67741935483872</v>
      </c>
      <c r="F84" s="23">
        <v>100</v>
      </c>
      <c r="G84" s="25">
        <f t="shared" si="6"/>
        <v>161.29032258064515</v>
      </c>
      <c r="H84" s="23">
        <v>167</v>
      </c>
      <c r="I84" s="25">
        <f t="shared" si="7"/>
        <v>269.35483870967744</v>
      </c>
      <c r="J84" s="23">
        <v>350</v>
      </c>
      <c r="K84" s="25">
        <f t="shared" si="8"/>
        <v>564.51612903225805</v>
      </c>
      <c r="L84" s="23" t="s">
        <v>86</v>
      </c>
      <c r="M84" s="23" t="s">
        <v>39</v>
      </c>
      <c r="N84" s="23" t="s">
        <v>75</v>
      </c>
      <c r="O84" s="30" t="s">
        <v>45</v>
      </c>
      <c r="P84" s="32" t="s">
        <v>49</v>
      </c>
      <c r="Q84" s="26">
        <v>4</v>
      </c>
      <c r="R84" s="27"/>
      <c r="S84" s="28">
        <v>55348</v>
      </c>
      <c r="T84" s="17">
        <v>20440</v>
      </c>
      <c r="U84" s="38">
        <v>45.790322580645167</v>
      </c>
      <c r="V84" s="29">
        <v>0.17</v>
      </c>
      <c r="W84" s="17" t="str">
        <f>IF(AND($Q84=Output!$A$3, $O84=Output!$B$3, $S84&lt;=Output!$C$3, $G84&gt;=Output!$D$3), "T", "F")</f>
        <v>F</v>
      </c>
    </row>
    <row r="85" spans="1:23" ht="14.25" customHeight="1" x14ac:dyDescent="0.3">
      <c r="A85" s="23" t="s">
        <v>88</v>
      </c>
      <c r="B85" s="24" t="s">
        <v>188</v>
      </c>
      <c r="C85" s="23">
        <v>6.6</v>
      </c>
      <c r="D85" s="23">
        <v>180</v>
      </c>
      <c r="E85" s="25">
        <f t="shared" si="5"/>
        <v>290.32258064516128</v>
      </c>
      <c r="F85" s="23">
        <v>360</v>
      </c>
      <c r="G85" s="25">
        <f t="shared" si="6"/>
        <v>580.64516129032256</v>
      </c>
      <c r="H85" s="23">
        <v>194</v>
      </c>
      <c r="I85" s="25">
        <f t="shared" si="7"/>
        <v>312.90322580645159</v>
      </c>
      <c r="J85" s="23">
        <v>380</v>
      </c>
      <c r="K85" s="25">
        <f t="shared" si="8"/>
        <v>612.90322580645159</v>
      </c>
      <c r="L85" s="23" t="s">
        <v>33</v>
      </c>
      <c r="M85" s="23" t="s">
        <v>39</v>
      </c>
      <c r="N85" s="23" t="s">
        <v>35</v>
      </c>
      <c r="O85" s="23" t="s">
        <v>45</v>
      </c>
      <c r="P85" s="23" t="s">
        <v>36</v>
      </c>
      <c r="Q85" s="26">
        <v>5</v>
      </c>
      <c r="R85" s="27">
        <v>46900</v>
      </c>
      <c r="S85" s="28">
        <v>51590</v>
      </c>
      <c r="T85" s="17">
        <v>20440</v>
      </c>
      <c r="U85" s="38">
        <v>53.193548387096776</v>
      </c>
      <c r="V85" s="29">
        <v>0.17</v>
      </c>
      <c r="W85" s="17" t="str">
        <f>IF(AND($Q85=Output!$A$3, $O85=Output!$B$3, $S85&lt;=Output!$C$3, $G85&gt;=Output!$D$3), "T", "F")</f>
        <v>F</v>
      </c>
    </row>
    <row r="86" spans="1:23" ht="14.25" customHeight="1" x14ac:dyDescent="0.3">
      <c r="A86" s="23" t="s">
        <v>54</v>
      </c>
      <c r="B86" s="24" t="s">
        <v>96</v>
      </c>
      <c r="C86" s="23">
        <v>10</v>
      </c>
      <c r="D86" s="23">
        <v>140</v>
      </c>
      <c r="E86" s="25">
        <f t="shared" si="5"/>
        <v>225.80645161290323</v>
      </c>
      <c r="F86" s="23">
        <v>330</v>
      </c>
      <c r="G86" s="25">
        <f t="shared" si="6"/>
        <v>532.25806451612902</v>
      </c>
      <c r="H86" s="23">
        <v>273</v>
      </c>
      <c r="I86" s="25">
        <f t="shared" si="7"/>
        <v>440.32258064516128</v>
      </c>
      <c r="J86" s="23">
        <v>290</v>
      </c>
      <c r="K86" s="25">
        <f t="shared" si="8"/>
        <v>467.74193548387098</v>
      </c>
      <c r="L86" s="23" t="s">
        <v>33</v>
      </c>
      <c r="M86" s="23" t="s">
        <v>50</v>
      </c>
      <c r="N86" s="23" t="s">
        <v>35</v>
      </c>
      <c r="O86" s="23" t="s">
        <v>90</v>
      </c>
      <c r="P86" s="23" t="s">
        <v>71</v>
      </c>
      <c r="Q86" s="26">
        <v>7</v>
      </c>
      <c r="R86" s="27">
        <v>70631</v>
      </c>
      <c r="S86" s="28">
        <v>77694.100000000006</v>
      </c>
      <c r="T86" s="17">
        <v>20440</v>
      </c>
      <c r="U86" s="38">
        <v>74.854838709677423</v>
      </c>
      <c r="V86" s="29">
        <v>0.17</v>
      </c>
      <c r="W86" s="17" t="str">
        <f>IF(AND($Q86=Output!$A$3, $O86=Output!$B$3, $S86&lt;=Output!$C$3, $G86&gt;=Output!$D$3), "T", "F")</f>
        <v>F</v>
      </c>
    </row>
    <row r="87" spans="1:23" ht="14.25" customHeight="1" x14ac:dyDescent="0.3">
      <c r="A87" s="23" t="s">
        <v>189</v>
      </c>
      <c r="B87" s="24" t="s">
        <v>190</v>
      </c>
      <c r="C87" s="23">
        <v>9</v>
      </c>
      <c r="D87" s="23">
        <v>150</v>
      </c>
      <c r="E87" s="25">
        <f t="shared" si="5"/>
        <v>241.93548387096774</v>
      </c>
      <c r="F87" s="23">
        <v>250</v>
      </c>
      <c r="G87" s="25">
        <f t="shared" si="6"/>
        <v>403.22580645161293</v>
      </c>
      <c r="H87" s="23">
        <v>168</v>
      </c>
      <c r="I87" s="25">
        <f t="shared" si="7"/>
        <v>270.9677419354839</v>
      </c>
      <c r="J87" s="23">
        <v>330</v>
      </c>
      <c r="K87" s="25">
        <f t="shared" si="8"/>
        <v>532.25806451612902</v>
      </c>
      <c r="L87" s="23" t="s">
        <v>33</v>
      </c>
      <c r="M87" s="23" t="s">
        <v>50</v>
      </c>
      <c r="N87" s="23" t="s">
        <v>35</v>
      </c>
      <c r="O87" s="23" t="s">
        <v>40</v>
      </c>
      <c r="P87" s="23" t="s">
        <v>48</v>
      </c>
      <c r="Q87" s="26">
        <v>4</v>
      </c>
      <c r="R87" s="27">
        <v>34900</v>
      </c>
      <c r="S87" s="28">
        <v>38390</v>
      </c>
      <c r="T87" s="17">
        <v>20440</v>
      </c>
      <c r="U87" s="38">
        <v>46.064516129032263</v>
      </c>
      <c r="V87" s="29">
        <v>0.17</v>
      </c>
      <c r="W87" s="17" t="str">
        <f>IF(AND($Q87=Output!$A$3, $O87=Output!$B$3, $S87&lt;=Output!$C$3, $G87&gt;=Output!$D$3), "T", "F")</f>
        <v>F</v>
      </c>
    </row>
    <row r="88" spans="1:23" ht="14.25" customHeight="1" x14ac:dyDescent="0.3">
      <c r="A88" s="23" t="s">
        <v>31</v>
      </c>
      <c r="B88" s="24" t="s">
        <v>191</v>
      </c>
      <c r="C88" s="23">
        <v>7</v>
      </c>
      <c r="D88" s="23">
        <v>180</v>
      </c>
      <c r="E88" s="25">
        <f t="shared" si="5"/>
        <v>290.32258064516128</v>
      </c>
      <c r="F88" s="23">
        <v>390</v>
      </c>
      <c r="G88" s="25">
        <f t="shared" si="6"/>
        <v>629.0322580645161</v>
      </c>
      <c r="H88" s="23">
        <v>256</v>
      </c>
      <c r="I88" s="25">
        <f t="shared" si="7"/>
        <v>412.90322580645164</v>
      </c>
      <c r="J88" s="23">
        <v>740</v>
      </c>
      <c r="K88" s="25">
        <f t="shared" si="8"/>
        <v>1193.5483870967741</v>
      </c>
      <c r="L88" s="23" t="s">
        <v>33</v>
      </c>
      <c r="M88" s="23" t="s">
        <v>39</v>
      </c>
      <c r="N88" s="23" t="s">
        <v>35</v>
      </c>
      <c r="O88" s="23" t="s">
        <v>70</v>
      </c>
      <c r="P88" s="23" t="s">
        <v>71</v>
      </c>
      <c r="Q88" s="26">
        <v>6</v>
      </c>
      <c r="R88" s="27">
        <v>45000</v>
      </c>
      <c r="S88" s="28">
        <v>49500</v>
      </c>
      <c r="T88" s="17">
        <v>20440</v>
      </c>
      <c r="U88" s="38">
        <v>70.193548387096783</v>
      </c>
      <c r="V88" s="29">
        <v>0.17</v>
      </c>
      <c r="W88" s="17" t="str">
        <f>IF(AND($Q88=Output!$A$3, $O88=Output!$B$3, $S88&lt;=Output!$C$3, $G88&gt;=Output!$D$3), "T", "F")</f>
        <v>F</v>
      </c>
    </row>
    <row r="89" spans="1:23" ht="14.25" customHeight="1" x14ac:dyDescent="0.3">
      <c r="A89" s="23" t="s">
        <v>52</v>
      </c>
      <c r="B89" s="24" t="s">
        <v>192</v>
      </c>
      <c r="C89" s="23">
        <v>6.8</v>
      </c>
      <c r="D89" s="23">
        <v>190</v>
      </c>
      <c r="E89" s="25">
        <f t="shared" si="5"/>
        <v>306.45161290322579</v>
      </c>
      <c r="F89" s="23">
        <v>295</v>
      </c>
      <c r="G89" s="25">
        <f t="shared" si="6"/>
        <v>475.80645161290323</v>
      </c>
      <c r="H89" s="23">
        <v>219</v>
      </c>
      <c r="I89" s="25">
        <f t="shared" si="7"/>
        <v>353.22580645161293</v>
      </c>
      <c r="J89" s="23">
        <v>470</v>
      </c>
      <c r="K89" s="25">
        <f t="shared" si="8"/>
        <v>758.06451612903231</v>
      </c>
      <c r="L89" s="23" t="s">
        <v>33</v>
      </c>
      <c r="M89" s="23" t="s">
        <v>34</v>
      </c>
      <c r="N89" s="23" t="s">
        <v>35</v>
      </c>
      <c r="O89" s="23" t="s">
        <v>45</v>
      </c>
      <c r="P89" s="23" t="s">
        <v>139</v>
      </c>
      <c r="Q89" s="26">
        <v>5</v>
      </c>
      <c r="R89" s="27">
        <v>69551</v>
      </c>
      <c r="S89" s="28">
        <v>76506.100000000006</v>
      </c>
      <c r="T89" s="17">
        <v>20440</v>
      </c>
      <c r="U89" s="38">
        <v>60.048387096774199</v>
      </c>
      <c r="V89" s="29">
        <v>0.17</v>
      </c>
      <c r="W89" s="17" t="str">
        <f>IF(AND($Q89=Output!$A$3, $O89=Output!$B$3, $S89&lt;=Output!$C$3, $G89&gt;=Output!$D$3), "T", "F")</f>
        <v>F</v>
      </c>
    </row>
    <row r="90" spans="1:23" ht="14.25" customHeight="1" x14ac:dyDescent="0.3">
      <c r="A90" s="23" t="s">
        <v>64</v>
      </c>
      <c r="B90" s="24" t="s">
        <v>97</v>
      </c>
      <c r="C90" s="23">
        <v>6.2</v>
      </c>
      <c r="D90" s="23">
        <v>180</v>
      </c>
      <c r="E90" s="25">
        <f t="shared" si="5"/>
        <v>290.32258064516128</v>
      </c>
      <c r="F90" s="23">
        <v>400</v>
      </c>
      <c r="G90" s="25">
        <f t="shared" si="6"/>
        <v>645.16129032258061</v>
      </c>
      <c r="H90" s="23">
        <v>193</v>
      </c>
      <c r="I90" s="25">
        <f t="shared" si="7"/>
        <v>311.29032258064518</v>
      </c>
      <c r="J90" s="23">
        <v>540</v>
      </c>
      <c r="K90" s="25">
        <f t="shared" si="8"/>
        <v>870.9677419354839</v>
      </c>
      <c r="L90" s="23" t="s">
        <v>33</v>
      </c>
      <c r="M90" s="23" t="s">
        <v>34</v>
      </c>
      <c r="N90" s="23" t="s">
        <v>35</v>
      </c>
      <c r="O90" s="23" t="s">
        <v>45</v>
      </c>
      <c r="P90" s="23" t="s">
        <v>41</v>
      </c>
      <c r="Q90" s="26">
        <v>5</v>
      </c>
      <c r="R90" s="27">
        <v>47500</v>
      </c>
      <c r="S90" s="28">
        <v>52250</v>
      </c>
      <c r="T90" s="17">
        <v>20440</v>
      </c>
      <c r="U90" s="38">
        <v>52.919354838709687</v>
      </c>
      <c r="V90" s="29">
        <v>0.17</v>
      </c>
      <c r="W90" s="17" t="str">
        <f>IF(AND($Q90=Output!$A$3, $O90=Output!$B$3, $S90&lt;=Output!$C$3, $G90&gt;=Output!$D$3), "T", "F")</f>
        <v>F</v>
      </c>
    </row>
    <row r="91" spans="1:23" ht="14.25" customHeight="1" x14ac:dyDescent="0.3">
      <c r="A91" s="23" t="s">
        <v>64</v>
      </c>
      <c r="B91" s="24" t="s">
        <v>193</v>
      </c>
      <c r="C91" s="23">
        <v>9</v>
      </c>
      <c r="D91" s="23">
        <v>160</v>
      </c>
      <c r="E91" s="25">
        <f t="shared" si="5"/>
        <v>258.06451612903226</v>
      </c>
      <c r="F91" s="23">
        <v>320</v>
      </c>
      <c r="G91" s="25">
        <f t="shared" si="6"/>
        <v>516.12903225806451</v>
      </c>
      <c r="H91" s="23">
        <v>181</v>
      </c>
      <c r="I91" s="25">
        <f t="shared" si="7"/>
        <v>291.93548387096774</v>
      </c>
      <c r="J91" s="23">
        <v>440</v>
      </c>
      <c r="K91" s="25">
        <f t="shared" si="8"/>
        <v>709.67741935483866</v>
      </c>
      <c r="L91" s="23" t="s">
        <v>33</v>
      </c>
      <c r="M91" s="23" t="s">
        <v>39</v>
      </c>
      <c r="N91" s="23" t="s">
        <v>35</v>
      </c>
      <c r="O91" s="23" t="s">
        <v>45</v>
      </c>
      <c r="P91" s="23" t="s">
        <v>41</v>
      </c>
      <c r="Q91" s="26">
        <v>5</v>
      </c>
      <c r="R91" s="27">
        <v>37500</v>
      </c>
      <c r="S91" s="28">
        <v>41250</v>
      </c>
      <c r="T91" s="17">
        <v>20440</v>
      </c>
      <c r="U91" s="38">
        <v>49.62903225806452</v>
      </c>
      <c r="V91" s="29">
        <v>0.17</v>
      </c>
      <c r="W91" s="17" t="str">
        <f>IF(AND($Q91=Output!$A$3, $O91=Output!$B$3, $S91&lt;=Output!$C$3, $G91&gt;=Output!$D$3), "T", "F")</f>
        <v>F</v>
      </c>
    </row>
    <row r="92" spans="1:23" ht="14.25" customHeight="1" x14ac:dyDescent="0.3">
      <c r="A92" s="23" t="s">
        <v>52</v>
      </c>
      <c r="B92" s="24" t="s">
        <v>194</v>
      </c>
      <c r="C92" s="23">
        <v>4.5</v>
      </c>
      <c r="D92" s="23">
        <v>210</v>
      </c>
      <c r="E92" s="25">
        <f t="shared" si="5"/>
        <v>338.70967741935482</v>
      </c>
      <c r="F92" s="23">
        <v>320</v>
      </c>
      <c r="G92" s="25">
        <f t="shared" si="6"/>
        <v>516.12903225806451</v>
      </c>
      <c r="H92" s="23">
        <v>270</v>
      </c>
      <c r="I92" s="25">
        <f t="shared" si="7"/>
        <v>435.48387096774195</v>
      </c>
      <c r="J92" s="23">
        <v>510</v>
      </c>
      <c r="K92" s="25">
        <f t="shared" si="8"/>
        <v>822.58064516129036</v>
      </c>
      <c r="L92" s="23" t="s">
        <v>33</v>
      </c>
      <c r="M92" s="23" t="s">
        <v>34</v>
      </c>
      <c r="N92" s="23" t="s">
        <v>35</v>
      </c>
      <c r="O92" s="23" t="s">
        <v>45</v>
      </c>
      <c r="P92" s="23" t="s">
        <v>139</v>
      </c>
      <c r="Q92" s="26">
        <v>5</v>
      </c>
      <c r="R92" s="27">
        <v>93800</v>
      </c>
      <c r="S92" s="28">
        <v>103180</v>
      </c>
      <c r="T92" s="17">
        <v>20440</v>
      </c>
      <c r="U92" s="38">
        <v>74.032258064516142</v>
      </c>
      <c r="V92" s="29">
        <v>0.17</v>
      </c>
      <c r="W92" s="17" t="str">
        <f>IF(AND($Q92=Output!$A$3, $O92=Output!$B$3, $S92&lt;=Output!$C$3, $G92&gt;=Output!$D$3), "T", "F")</f>
        <v>F</v>
      </c>
    </row>
    <row r="93" spans="1:23" ht="14.25" customHeight="1" x14ac:dyDescent="0.3">
      <c r="A93" s="23" t="s">
        <v>182</v>
      </c>
      <c r="B93" s="24" t="s">
        <v>195</v>
      </c>
      <c r="C93" s="23">
        <v>11.9</v>
      </c>
      <c r="D93" s="23">
        <v>130</v>
      </c>
      <c r="E93" s="25">
        <f t="shared" si="5"/>
        <v>209.67741935483872</v>
      </c>
      <c r="F93" s="23">
        <v>95</v>
      </c>
      <c r="G93" s="25">
        <f t="shared" si="6"/>
        <v>153.2258064516129</v>
      </c>
      <c r="H93" s="23">
        <v>176</v>
      </c>
      <c r="I93" s="25">
        <f t="shared" si="7"/>
        <v>283.87096774193549</v>
      </c>
      <c r="J93" s="23">
        <v>500</v>
      </c>
      <c r="K93" s="25">
        <f t="shared" si="8"/>
        <v>806.45161290322585</v>
      </c>
      <c r="L93" s="23" t="s">
        <v>86</v>
      </c>
      <c r="M93" s="23" t="s">
        <v>39</v>
      </c>
      <c r="N93" s="23" t="s">
        <v>75</v>
      </c>
      <c r="O93" s="23" t="s">
        <v>82</v>
      </c>
      <c r="P93" s="23" t="s">
        <v>61</v>
      </c>
      <c r="Q93" s="26">
        <v>2</v>
      </c>
      <c r="R93" s="27">
        <v>24565</v>
      </c>
      <c r="S93" s="28">
        <v>27021.5</v>
      </c>
      <c r="T93" s="17">
        <v>20440</v>
      </c>
      <c r="U93" s="38">
        <v>48.258064516129039</v>
      </c>
      <c r="V93" s="29">
        <v>0.17</v>
      </c>
      <c r="W93" s="17" t="str">
        <f>IF(AND($Q93=Output!$A$3, $O93=Output!$B$3, $S93&lt;=Output!$C$3, $G93&gt;=Output!$D$3), "T", "F")</f>
        <v>F</v>
      </c>
    </row>
    <row r="94" spans="1:23" ht="14.25" customHeight="1" x14ac:dyDescent="0.3">
      <c r="A94" s="23" t="s">
        <v>67</v>
      </c>
      <c r="B94" s="24" t="s">
        <v>78</v>
      </c>
      <c r="C94" s="23">
        <v>7.9</v>
      </c>
      <c r="D94" s="23">
        <v>167</v>
      </c>
      <c r="E94" s="25">
        <f t="shared" si="5"/>
        <v>269.35483870967744</v>
      </c>
      <c r="F94" s="23">
        <v>365</v>
      </c>
      <c r="G94" s="25">
        <f t="shared" si="6"/>
        <v>588.70967741935488</v>
      </c>
      <c r="H94" s="23">
        <v>175</v>
      </c>
      <c r="I94" s="25">
        <f t="shared" si="7"/>
        <v>282.25806451612902</v>
      </c>
      <c r="J94" s="23">
        <v>320</v>
      </c>
      <c r="K94" s="25">
        <f t="shared" si="8"/>
        <v>516.12903225806451</v>
      </c>
      <c r="L94" s="23" t="s">
        <v>33</v>
      </c>
      <c r="M94" s="23" t="s">
        <v>50</v>
      </c>
      <c r="N94" s="23" t="s">
        <v>35</v>
      </c>
      <c r="O94" s="23" t="s">
        <v>45</v>
      </c>
      <c r="P94" s="23" t="s">
        <v>48</v>
      </c>
      <c r="Q94" s="26">
        <v>5</v>
      </c>
      <c r="R94" s="27">
        <v>36837</v>
      </c>
      <c r="S94" s="28">
        <v>40520.699999999997</v>
      </c>
      <c r="T94" s="17">
        <v>20440</v>
      </c>
      <c r="U94" s="38">
        <v>47.983870967741936</v>
      </c>
      <c r="V94" s="29">
        <v>0.17</v>
      </c>
      <c r="W94" s="17" t="str">
        <f>IF(AND($Q94=Output!$A$3, $O94=Output!$B$3, $S94&lt;=Output!$C$3, $G94&gt;=Output!$D$3), "T", "F")</f>
        <v>F</v>
      </c>
    </row>
    <row r="95" spans="1:23" ht="14.25" customHeight="1" x14ac:dyDescent="0.3">
      <c r="A95" s="23" t="s">
        <v>55</v>
      </c>
      <c r="B95" s="24" t="s">
        <v>196</v>
      </c>
      <c r="C95" s="23">
        <v>5.7</v>
      </c>
      <c r="D95" s="23">
        <v>200</v>
      </c>
      <c r="E95" s="25">
        <f t="shared" si="5"/>
        <v>322.58064516129031</v>
      </c>
      <c r="F95" s="23">
        <v>420</v>
      </c>
      <c r="G95" s="25">
        <f t="shared" si="6"/>
        <v>677.41935483870964</v>
      </c>
      <c r="H95" s="23">
        <v>207</v>
      </c>
      <c r="I95" s="25">
        <f t="shared" si="7"/>
        <v>333.87096774193549</v>
      </c>
      <c r="J95" s="23">
        <v>500</v>
      </c>
      <c r="K95" s="25">
        <f t="shared" si="8"/>
        <v>806.45161290322585</v>
      </c>
      <c r="L95" s="23" t="s">
        <v>33</v>
      </c>
      <c r="M95" s="23" t="s">
        <v>34</v>
      </c>
      <c r="N95" s="23" t="s">
        <v>35</v>
      </c>
      <c r="O95" s="23" t="s">
        <v>40</v>
      </c>
      <c r="P95" s="23" t="s">
        <v>41</v>
      </c>
      <c r="Q95" s="26">
        <v>5</v>
      </c>
      <c r="R95" s="27">
        <v>57500</v>
      </c>
      <c r="S95" s="28">
        <v>63250</v>
      </c>
      <c r="T95" s="17">
        <v>20440</v>
      </c>
      <c r="U95" s="38">
        <v>56.758064516129039</v>
      </c>
      <c r="V95" s="29">
        <v>0.17</v>
      </c>
      <c r="W95" s="17" t="str">
        <f>IF(AND($Q95=Output!$A$3, $O95=Output!$B$3, $S95&lt;=Output!$C$3, $G95&gt;=Output!$D$3), "T", "F")</f>
        <v>F</v>
      </c>
    </row>
    <row r="96" spans="1:23" ht="14.25" customHeight="1" x14ac:dyDescent="0.3">
      <c r="A96" s="23" t="s">
        <v>189</v>
      </c>
      <c r="B96" s="24" t="s">
        <v>197</v>
      </c>
      <c r="C96" s="23">
        <v>9</v>
      </c>
      <c r="D96" s="23">
        <v>150</v>
      </c>
      <c r="E96" s="25">
        <f t="shared" si="5"/>
        <v>241.93548387096774</v>
      </c>
      <c r="F96" s="23">
        <v>250</v>
      </c>
      <c r="G96" s="25">
        <f t="shared" si="6"/>
        <v>403.22580645161293</v>
      </c>
      <c r="H96" s="23">
        <v>168</v>
      </c>
      <c r="I96" s="25">
        <f t="shared" si="7"/>
        <v>270.9677419354839</v>
      </c>
      <c r="J96" s="23">
        <v>330</v>
      </c>
      <c r="K96" s="25">
        <f t="shared" si="8"/>
        <v>532.25806451612902</v>
      </c>
      <c r="L96" s="23" t="s">
        <v>33</v>
      </c>
      <c r="M96" s="23" t="s">
        <v>50</v>
      </c>
      <c r="N96" s="23" t="s">
        <v>35</v>
      </c>
      <c r="O96" s="23" t="s">
        <v>82</v>
      </c>
      <c r="P96" s="23" t="s">
        <v>48</v>
      </c>
      <c r="Q96" s="26">
        <v>4</v>
      </c>
      <c r="R96" s="27">
        <v>37900</v>
      </c>
      <c r="S96" s="28">
        <v>41690</v>
      </c>
      <c r="T96" s="17">
        <v>20440</v>
      </c>
      <c r="U96" s="38">
        <v>46.064516129032263</v>
      </c>
      <c r="V96" s="29">
        <v>0.17</v>
      </c>
      <c r="W96" s="17" t="str">
        <f>IF(AND($Q96=Output!$A$3, $O96=Output!$B$3, $S96&lt;=Output!$C$3, $G96&gt;=Output!$D$3), "T", "F")</f>
        <v>F</v>
      </c>
    </row>
    <row r="97" spans="1:23" ht="14.25" customHeight="1" x14ac:dyDescent="0.3">
      <c r="A97" s="23" t="s">
        <v>37</v>
      </c>
      <c r="B97" s="24" t="s">
        <v>198</v>
      </c>
      <c r="C97" s="23">
        <v>7.3</v>
      </c>
      <c r="D97" s="23">
        <v>160</v>
      </c>
      <c r="E97" s="25">
        <f t="shared" si="5"/>
        <v>258.06451612903226</v>
      </c>
      <c r="F97" s="23">
        <v>340</v>
      </c>
      <c r="G97" s="25">
        <f t="shared" si="6"/>
        <v>548.38709677419354</v>
      </c>
      <c r="H97" s="23">
        <v>171</v>
      </c>
      <c r="I97" s="25">
        <f t="shared" si="7"/>
        <v>275.80645161290323</v>
      </c>
      <c r="J97" s="23">
        <v>470</v>
      </c>
      <c r="K97" s="25">
        <f t="shared" si="8"/>
        <v>758.06451612903231</v>
      </c>
      <c r="L97" s="23" t="s">
        <v>33</v>
      </c>
      <c r="M97" s="23" t="s">
        <v>39</v>
      </c>
      <c r="N97" s="23" t="s">
        <v>35</v>
      </c>
      <c r="O97" s="23" t="s">
        <v>40</v>
      </c>
      <c r="P97" s="23" t="s">
        <v>41</v>
      </c>
      <c r="Q97" s="26">
        <v>5</v>
      </c>
      <c r="R97" s="27">
        <v>35575</v>
      </c>
      <c r="S97" s="28">
        <v>39132.5</v>
      </c>
      <c r="T97" s="17">
        <v>20440</v>
      </c>
      <c r="U97" s="38">
        <v>46.887096774193552</v>
      </c>
      <c r="V97" s="29">
        <v>0.17</v>
      </c>
      <c r="W97" s="17" t="str">
        <f>IF(AND($Q97=Output!$A$3, $O97=Output!$B$3, $S97&lt;=Output!$C$3, $G97&gt;=Output!$D$3), "T", "F")</f>
        <v>F</v>
      </c>
    </row>
    <row r="98" spans="1:23" ht="14.25" customHeight="1" x14ac:dyDescent="0.3">
      <c r="A98" s="23" t="s">
        <v>67</v>
      </c>
      <c r="B98" s="24" t="s">
        <v>98</v>
      </c>
      <c r="C98" s="23">
        <v>9.9</v>
      </c>
      <c r="D98" s="23">
        <v>157</v>
      </c>
      <c r="E98" s="25">
        <f t="shared" si="5"/>
        <v>253.2258064516129</v>
      </c>
      <c r="F98" s="23">
        <v>230</v>
      </c>
      <c r="G98" s="25">
        <f t="shared" si="6"/>
        <v>370.9677419354839</v>
      </c>
      <c r="H98" s="23">
        <v>170</v>
      </c>
      <c r="I98" s="25">
        <f t="shared" si="7"/>
        <v>274.19354838709677</v>
      </c>
      <c r="J98" s="23">
        <v>220</v>
      </c>
      <c r="K98" s="25">
        <f t="shared" si="8"/>
        <v>354.83870967741933</v>
      </c>
      <c r="L98" s="23" t="s">
        <v>33</v>
      </c>
      <c r="M98" s="23" t="s">
        <v>50</v>
      </c>
      <c r="N98" s="23" t="s">
        <v>35</v>
      </c>
      <c r="O98" s="23" t="s">
        <v>45</v>
      </c>
      <c r="P98" s="23" t="s">
        <v>48</v>
      </c>
      <c r="Q98" s="26">
        <v>5</v>
      </c>
      <c r="R98" s="27">
        <v>33133</v>
      </c>
      <c r="S98" s="28">
        <v>36446.300000000003</v>
      </c>
      <c r="T98" s="17">
        <v>20440</v>
      </c>
      <c r="U98" s="38">
        <v>46.612903225806456</v>
      </c>
      <c r="V98" s="29">
        <v>0.17</v>
      </c>
      <c r="W98" s="17" t="str">
        <f>IF(AND($Q98=Output!$A$3, $O98=Output!$B$3, $S98&lt;=Output!$C$3, $G98&gt;=Output!$D$3), "T", "F")</f>
        <v>F</v>
      </c>
    </row>
    <row r="99" spans="1:23" ht="14.25" customHeight="1" x14ac:dyDescent="0.3">
      <c r="A99" s="23" t="s">
        <v>177</v>
      </c>
      <c r="B99" s="24" t="s">
        <v>199</v>
      </c>
      <c r="C99" s="23">
        <v>7.5</v>
      </c>
      <c r="D99" s="23">
        <v>190</v>
      </c>
      <c r="E99" s="25">
        <f t="shared" si="5"/>
        <v>306.45161290322579</v>
      </c>
      <c r="F99" s="23">
        <v>325</v>
      </c>
      <c r="G99" s="25">
        <f t="shared" si="6"/>
        <v>524.19354838709683</v>
      </c>
      <c r="H99" s="23">
        <v>222</v>
      </c>
      <c r="I99" s="25">
        <f t="shared" si="7"/>
        <v>358.06451612903226</v>
      </c>
      <c r="J99" s="23">
        <v>420</v>
      </c>
      <c r="K99" s="25">
        <f t="shared" si="8"/>
        <v>677.41935483870964</v>
      </c>
      <c r="L99" s="23" t="s">
        <v>33</v>
      </c>
      <c r="M99" s="23" t="s">
        <v>39</v>
      </c>
      <c r="N99" s="23" t="s">
        <v>35</v>
      </c>
      <c r="O99" s="23" t="s">
        <v>45</v>
      </c>
      <c r="P99" s="23" t="s">
        <v>139</v>
      </c>
      <c r="Q99" s="26">
        <v>5</v>
      </c>
      <c r="R99" s="27">
        <v>53500</v>
      </c>
      <c r="S99" s="28">
        <v>58850</v>
      </c>
      <c r="T99" s="17">
        <v>20440</v>
      </c>
      <c r="U99" s="38">
        <v>60.870967741935488</v>
      </c>
      <c r="V99" s="29">
        <v>0.17</v>
      </c>
      <c r="W99" s="17" t="str">
        <f>IF(AND($Q99=Output!$A$3, $O99=Output!$B$3, $S99&lt;=Output!$C$3, $G99&gt;=Output!$D$3), "T", "F")</f>
        <v>F</v>
      </c>
    </row>
    <row r="100" spans="1:23" ht="14.25" customHeight="1" x14ac:dyDescent="0.3">
      <c r="A100" s="23" t="s">
        <v>55</v>
      </c>
      <c r="B100" s="24" t="s">
        <v>200</v>
      </c>
      <c r="C100" s="23">
        <v>7.5</v>
      </c>
      <c r="D100" s="23">
        <v>160</v>
      </c>
      <c r="E100" s="25">
        <f t="shared" si="5"/>
        <v>258.06451612903226</v>
      </c>
      <c r="F100" s="23">
        <v>330</v>
      </c>
      <c r="G100" s="25">
        <f t="shared" si="6"/>
        <v>532.25806451612902</v>
      </c>
      <c r="H100" s="23">
        <v>191</v>
      </c>
      <c r="I100" s="25">
        <f t="shared" si="7"/>
        <v>308.06451612903226</v>
      </c>
      <c r="J100" s="23">
        <v>440</v>
      </c>
      <c r="K100" s="25">
        <f t="shared" si="8"/>
        <v>709.67741935483866</v>
      </c>
      <c r="L100" s="23" t="s">
        <v>33</v>
      </c>
      <c r="M100" s="23" t="s">
        <v>50</v>
      </c>
      <c r="N100" s="23" t="s">
        <v>35</v>
      </c>
      <c r="O100" s="23" t="s">
        <v>40</v>
      </c>
      <c r="P100" s="23" t="s">
        <v>41</v>
      </c>
      <c r="Q100" s="26">
        <v>5</v>
      </c>
      <c r="R100" s="27">
        <v>45000</v>
      </c>
      <c r="S100" s="28">
        <v>49500</v>
      </c>
      <c r="T100" s="17">
        <v>20440</v>
      </c>
      <c r="U100" s="38">
        <v>52.370967741935488</v>
      </c>
      <c r="V100" s="29">
        <v>0.17</v>
      </c>
      <c r="W100" s="17" t="str">
        <f>IF(AND($Q100=Output!$A$3, $O100=Output!$B$3, $S100&lt;=Output!$C$3, $G100&gt;=Output!$D$3), "T", "F")</f>
        <v>F</v>
      </c>
    </row>
    <row r="101" spans="1:23" ht="14.25" customHeight="1" x14ac:dyDescent="0.3">
      <c r="A101" s="23" t="s">
        <v>52</v>
      </c>
      <c r="B101" s="24" t="s">
        <v>201</v>
      </c>
      <c r="C101" s="23">
        <v>4.5</v>
      </c>
      <c r="D101" s="23">
        <v>210</v>
      </c>
      <c r="E101" s="25">
        <f t="shared" si="5"/>
        <v>338.70967741935482</v>
      </c>
      <c r="F101" s="23">
        <v>335</v>
      </c>
      <c r="G101" s="25">
        <f t="shared" si="6"/>
        <v>540.32258064516134</v>
      </c>
      <c r="H101" s="23">
        <v>258</v>
      </c>
      <c r="I101" s="25">
        <f t="shared" si="7"/>
        <v>416.12903225806451</v>
      </c>
      <c r="J101" s="23">
        <v>540</v>
      </c>
      <c r="K101" s="25">
        <f t="shared" si="8"/>
        <v>870.9677419354839</v>
      </c>
      <c r="L101" s="23" t="s">
        <v>33</v>
      </c>
      <c r="M101" s="23" t="s">
        <v>34</v>
      </c>
      <c r="N101" s="23" t="s">
        <v>35</v>
      </c>
      <c r="O101" s="23" t="s">
        <v>45</v>
      </c>
      <c r="P101" s="23" t="s">
        <v>139</v>
      </c>
      <c r="Q101" s="26">
        <v>5</v>
      </c>
      <c r="R101" s="27">
        <v>96050</v>
      </c>
      <c r="S101" s="28">
        <v>105655</v>
      </c>
      <c r="T101" s="17">
        <v>20440</v>
      </c>
      <c r="U101" s="38">
        <v>70.741935483870975</v>
      </c>
      <c r="V101" s="29">
        <v>0.17</v>
      </c>
      <c r="W101" s="17" t="str">
        <f>IF(AND($Q101=Output!$A$3, $O101=Output!$B$3, $S101&lt;=Output!$C$3, $G101&gt;=Output!$D$3), "T", "F")</f>
        <v>F</v>
      </c>
    </row>
    <row r="102" spans="1:23" ht="14.25" customHeight="1" x14ac:dyDescent="0.3">
      <c r="A102" s="23" t="s">
        <v>55</v>
      </c>
      <c r="B102" s="24" t="s">
        <v>99</v>
      </c>
      <c r="C102" s="23">
        <v>5.9</v>
      </c>
      <c r="D102" s="23">
        <v>200</v>
      </c>
      <c r="E102" s="25">
        <f t="shared" si="5"/>
        <v>322.58064516129031</v>
      </c>
      <c r="F102" s="23">
        <v>325</v>
      </c>
      <c r="G102" s="25">
        <f t="shared" si="6"/>
        <v>524.19354838709683</v>
      </c>
      <c r="H102" s="23">
        <v>194</v>
      </c>
      <c r="I102" s="25">
        <f t="shared" si="7"/>
        <v>312.90322580645159</v>
      </c>
      <c r="J102" s="23">
        <v>440</v>
      </c>
      <c r="K102" s="25">
        <f t="shared" si="8"/>
        <v>709.67741935483866</v>
      </c>
      <c r="L102" s="23" t="s">
        <v>33</v>
      </c>
      <c r="M102" s="23" t="s">
        <v>34</v>
      </c>
      <c r="N102" s="23" t="s">
        <v>35</v>
      </c>
      <c r="O102" s="23" t="s">
        <v>40</v>
      </c>
      <c r="P102" s="23" t="s">
        <v>41</v>
      </c>
      <c r="Q102" s="26">
        <v>5</v>
      </c>
      <c r="R102" s="27">
        <v>50000</v>
      </c>
      <c r="S102" s="28">
        <v>55000</v>
      </c>
      <c r="T102" s="17">
        <v>20440</v>
      </c>
      <c r="U102" s="38">
        <v>53.193548387096776</v>
      </c>
      <c r="V102" s="29">
        <v>0.17</v>
      </c>
      <c r="W102" s="17" t="str">
        <f>IF(AND($Q102=Output!$A$3, $O102=Output!$B$3, $S102&lt;=Output!$C$3, $G102&gt;=Output!$D$3), "T", "F")</f>
        <v>F</v>
      </c>
    </row>
    <row r="103" spans="1:23" ht="14.25" customHeight="1" x14ac:dyDescent="0.3">
      <c r="A103" s="23" t="s">
        <v>55</v>
      </c>
      <c r="B103" s="24" t="s">
        <v>202</v>
      </c>
      <c r="C103" s="23">
        <v>5.0999999999999996</v>
      </c>
      <c r="D103" s="23">
        <v>200</v>
      </c>
      <c r="E103" s="25">
        <f t="shared" si="5"/>
        <v>322.58064516129031</v>
      </c>
      <c r="F103" s="23">
        <v>375</v>
      </c>
      <c r="G103" s="25">
        <f t="shared" si="6"/>
        <v>604.83870967741939</v>
      </c>
      <c r="H103" s="23">
        <v>232</v>
      </c>
      <c r="I103" s="25">
        <f t="shared" si="7"/>
        <v>374.19354838709677</v>
      </c>
      <c r="J103" s="23">
        <v>450</v>
      </c>
      <c r="K103" s="25">
        <f t="shared" si="8"/>
        <v>725.80645161290317</v>
      </c>
      <c r="L103" s="23" t="s">
        <v>33</v>
      </c>
      <c r="M103" s="23" t="s">
        <v>34</v>
      </c>
      <c r="N103" s="23" t="s">
        <v>35</v>
      </c>
      <c r="O103" s="23" t="s">
        <v>40</v>
      </c>
      <c r="P103" s="23" t="s">
        <v>41</v>
      </c>
      <c r="Q103" s="26">
        <v>5</v>
      </c>
      <c r="R103" s="27">
        <v>65000</v>
      </c>
      <c r="S103" s="28">
        <v>71500</v>
      </c>
      <c r="T103" s="17">
        <v>20440</v>
      </c>
      <c r="U103" s="38">
        <v>63.612903225806456</v>
      </c>
      <c r="V103" s="29">
        <v>0.17</v>
      </c>
      <c r="W103" s="17" t="str">
        <f>IF(AND($Q103=Output!$A$3, $O103=Output!$B$3, $S103&lt;=Output!$C$3, $G103&gt;=Output!$D$3), "T", "F")</f>
        <v>F</v>
      </c>
    </row>
    <row r="104" spans="1:23" ht="14.25" customHeight="1" x14ac:dyDescent="0.3">
      <c r="A104" s="23" t="s">
        <v>177</v>
      </c>
      <c r="B104" s="24" t="s">
        <v>203</v>
      </c>
      <c r="C104" s="23">
        <v>7.5</v>
      </c>
      <c r="D104" s="23">
        <v>190</v>
      </c>
      <c r="E104" s="25">
        <f t="shared" si="5"/>
        <v>306.45161290322579</v>
      </c>
      <c r="F104" s="23">
        <v>400</v>
      </c>
      <c r="G104" s="25">
        <f t="shared" si="6"/>
        <v>645.16129032258061</v>
      </c>
      <c r="H104" s="23">
        <v>238</v>
      </c>
      <c r="I104" s="25">
        <f t="shared" si="7"/>
        <v>383.87096774193549</v>
      </c>
      <c r="J104" s="23">
        <v>480</v>
      </c>
      <c r="K104" s="25">
        <f t="shared" si="8"/>
        <v>774.19354838709683</v>
      </c>
      <c r="L104" s="23" t="s">
        <v>33</v>
      </c>
      <c r="M104" s="23" t="s">
        <v>34</v>
      </c>
      <c r="N104" s="23" t="s">
        <v>35</v>
      </c>
      <c r="O104" s="23" t="s">
        <v>45</v>
      </c>
      <c r="P104" s="23" t="s">
        <v>139</v>
      </c>
      <c r="Q104" s="26">
        <v>5</v>
      </c>
      <c r="R104" s="27">
        <v>62000</v>
      </c>
      <c r="S104" s="28">
        <v>68200</v>
      </c>
      <c r="T104" s="17">
        <v>20440</v>
      </c>
      <c r="U104" s="38">
        <v>65.258064516129039</v>
      </c>
      <c r="V104" s="29">
        <v>0.17</v>
      </c>
      <c r="W104" s="17" t="str">
        <f>IF(AND($Q104=Output!$A$3, $O104=Output!$B$3, $S104&lt;=Output!$C$3, $G104&gt;=Output!$D$3), "T", "F")</f>
        <v>F</v>
      </c>
    </row>
    <row r="105" spans="1:23" ht="14.25" customHeight="1" x14ac:dyDescent="0.3">
      <c r="B105" s="5"/>
      <c r="Q105" s="13"/>
      <c r="R105" s="14"/>
      <c r="S105" s="14"/>
      <c r="T105">
        <v>20440</v>
      </c>
      <c r="W105" s="17"/>
    </row>
    <row r="106" spans="1:23" ht="14.25" customHeight="1" x14ac:dyDescent="0.3">
      <c r="B106" s="5"/>
      <c r="Q106" s="13"/>
      <c r="R106" s="14"/>
      <c r="S106" s="14"/>
    </row>
    <row r="107" spans="1:23" ht="14.25" customHeight="1" x14ac:dyDescent="0.3">
      <c r="B107" s="5"/>
      <c r="Q107" s="13"/>
      <c r="R107" s="14"/>
      <c r="S107" s="14"/>
    </row>
    <row r="108" spans="1:23" ht="14.25" customHeight="1" x14ac:dyDescent="0.3">
      <c r="B108" s="5"/>
      <c r="Q108" s="13"/>
      <c r="R108" s="14"/>
      <c r="S108" s="14"/>
    </row>
    <row r="109" spans="1:23" ht="14.25" customHeight="1" x14ac:dyDescent="0.3">
      <c r="B109" s="5"/>
      <c r="Q109" s="13"/>
      <c r="R109" s="14"/>
      <c r="S109" s="14"/>
    </row>
    <row r="110" spans="1:23" ht="14.25" customHeight="1" x14ac:dyDescent="0.3">
      <c r="B110" s="5"/>
      <c r="Q110" s="13"/>
      <c r="R110" s="14"/>
      <c r="S110" s="14"/>
    </row>
    <row r="111" spans="1:23" ht="14.25" customHeight="1" x14ac:dyDescent="0.3">
      <c r="B111" s="5"/>
      <c r="Q111" s="13"/>
      <c r="R111" s="14"/>
      <c r="S111" s="14"/>
    </row>
    <row r="112" spans="1:23" ht="14.25" customHeight="1" x14ac:dyDescent="0.3">
      <c r="B112" s="5"/>
      <c r="Q112" s="13"/>
      <c r="R112" s="14"/>
      <c r="S112" s="14"/>
    </row>
    <row r="113" spans="2:19" ht="14.25" customHeight="1" x14ac:dyDescent="0.3">
      <c r="B113" s="5"/>
      <c r="Q113" s="13"/>
      <c r="R113" s="14"/>
      <c r="S113" s="14"/>
    </row>
    <row r="114" spans="2:19" ht="14.25" customHeight="1" x14ac:dyDescent="0.3">
      <c r="B114" s="5"/>
      <c r="Q114" s="13"/>
      <c r="R114" s="14"/>
      <c r="S114" s="14"/>
    </row>
    <row r="115" spans="2:19" ht="14.25" customHeight="1" x14ac:dyDescent="0.3">
      <c r="B115" s="5"/>
      <c r="Q115" s="13"/>
      <c r="R115" s="14"/>
      <c r="S115" s="14"/>
    </row>
    <row r="116" spans="2:19" ht="14.25" customHeight="1" x14ac:dyDescent="0.3">
      <c r="B116" s="5"/>
      <c r="Q116" s="13"/>
      <c r="R116" s="14"/>
      <c r="S116" s="14"/>
    </row>
    <row r="117" spans="2:19" ht="14.25" customHeight="1" x14ac:dyDescent="0.3">
      <c r="B117" s="5"/>
      <c r="Q117" s="13"/>
      <c r="R117" s="14"/>
      <c r="S117" s="14"/>
    </row>
    <row r="118" spans="2:19" ht="14.25" customHeight="1" x14ac:dyDescent="0.3">
      <c r="B118" s="5"/>
      <c r="Q118" s="13"/>
      <c r="R118" s="14"/>
      <c r="S118" s="14"/>
    </row>
    <row r="119" spans="2:19" ht="14.25" customHeight="1" x14ac:dyDescent="0.3">
      <c r="B119" s="5"/>
      <c r="Q119" s="13"/>
      <c r="R119" s="14"/>
      <c r="S119" s="14"/>
    </row>
    <row r="120" spans="2:19" ht="14.25" customHeight="1" x14ac:dyDescent="0.3">
      <c r="B120" s="5"/>
      <c r="Q120" s="13"/>
      <c r="R120" s="14"/>
      <c r="S120" s="14"/>
    </row>
    <row r="121" spans="2:19" ht="14.25" customHeight="1" x14ac:dyDescent="0.3">
      <c r="B121" s="5"/>
      <c r="Q121" s="13"/>
      <c r="R121" s="14"/>
      <c r="S121" s="14"/>
    </row>
    <row r="122" spans="2:19" ht="14.25" customHeight="1" x14ac:dyDescent="0.3">
      <c r="B122" s="5"/>
      <c r="Q122" s="13"/>
      <c r="R122" s="14"/>
      <c r="S122" s="14"/>
    </row>
    <row r="123" spans="2:19" ht="14.25" customHeight="1" x14ac:dyDescent="0.3">
      <c r="B123" s="5"/>
      <c r="Q123" s="13"/>
      <c r="R123" s="14"/>
      <c r="S123" s="14"/>
    </row>
    <row r="124" spans="2:19" ht="14.25" customHeight="1" x14ac:dyDescent="0.3">
      <c r="B124" s="5"/>
      <c r="Q124" s="13"/>
      <c r="R124" s="14"/>
      <c r="S124" s="14"/>
    </row>
    <row r="125" spans="2:19" ht="14.25" customHeight="1" x14ac:dyDescent="0.3">
      <c r="B125" s="5"/>
      <c r="Q125" s="13"/>
      <c r="R125" s="14"/>
      <c r="S125" s="14"/>
    </row>
    <row r="126" spans="2:19" ht="14.25" customHeight="1" x14ac:dyDescent="0.3">
      <c r="B126" s="5"/>
      <c r="Q126" s="13"/>
      <c r="R126" s="14"/>
      <c r="S126" s="14"/>
    </row>
    <row r="127" spans="2:19" ht="14.25" customHeight="1" x14ac:dyDescent="0.3">
      <c r="B127" s="5"/>
      <c r="Q127" s="13"/>
      <c r="R127" s="14"/>
      <c r="S127" s="14"/>
    </row>
    <row r="128" spans="2:19" ht="14.25" customHeight="1" x14ac:dyDescent="0.3">
      <c r="B128" s="5"/>
      <c r="Q128" s="13"/>
      <c r="R128" s="14"/>
      <c r="S128" s="14"/>
    </row>
    <row r="129" spans="2:19" ht="14.25" customHeight="1" x14ac:dyDescent="0.3">
      <c r="B129" s="5"/>
      <c r="Q129" s="13"/>
      <c r="R129" s="14"/>
      <c r="S129" s="14"/>
    </row>
    <row r="130" spans="2:19" ht="14.25" customHeight="1" x14ac:dyDescent="0.3">
      <c r="B130" s="5"/>
      <c r="Q130" s="13"/>
      <c r="R130" s="14"/>
      <c r="S130" s="14"/>
    </row>
    <row r="131" spans="2:19" ht="14.25" customHeight="1" x14ac:dyDescent="0.3">
      <c r="B131" s="5"/>
      <c r="Q131" s="13"/>
      <c r="R131" s="14"/>
      <c r="S131" s="14"/>
    </row>
    <row r="132" spans="2:19" ht="14.25" customHeight="1" x14ac:dyDescent="0.3">
      <c r="B132" s="5"/>
      <c r="Q132" s="13"/>
      <c r="R132" s="14"/>
      <c r="S132" s="14"/>
    </row>
    <row r="133" spans="2:19" ht="14.25" customHeight="1" x14ac:dyDescent="0.3">
      <c r="B133" s="5"/>
      <c r="Q133" s="13"/>
      <c r="R133" s="14"/>
      <c r="S133" s="14"/>
    </row>
    <row r="134" spans="2:19" ht="14.25" customHeight="1" x14ac:dyDescent="0.3">
      <c r="B134" s="5"/>
      <c r="Q134" s="13"/>
      <c r="R134" s="14"/>
      <c r="S134" s="14"/>
    </row>
    <row r="135" spans="2:19" ht="14.25" customHeight="1" x14ac:dyDescent="0.3">
      <c r="B135" s="5"/>
      <c r="Q135" s="13"/>
      <c r="R135" s="14"/>
      <c r="S135" s="14"/>
    </row>
    <row r="136" spans="2:19" ht="14.25" customHeight="1" x14ac:dyDescent="0.3">
      <c r="B136" s="5"/>
      <c r="Q136" s="13"/>
      <c r="R136" s="14"/>
      <c r="S136" s="14"/>
    </row>
    <row r="137" spans="2:19" ht="14.25" customHeight="1" x14ac:dyDescent="0.3">
      <c r="B137" s="5"/>
      <c r="Q137" s="13"/>
      <c r="R137" s="14"/>
      <c r="S137" s="14"/>
    </row>
    <row r="138" spans="2:19" ht="14.25" customHeight="1" x14ac:dyDescent="0.3">
      <c r="B138" s="5"/>
      <c r="Q138" s="13"/>
      <c r="R138" s="14"/>
      <c r="S138" s="14"/>
    </row>
    <row r="139" spans="2:19" ht="14.25" customHeight="1" x14ac:dyDescent="0.3">
      <c r="B139" s="5"/>
      <c r="Q139" s="13"/>
      <c r="R139" s="14"/>
      <c r="S139" s="14"/>
    </row>
    <row r="140" spans="2:19" ht="14.25" customHeight="1" x14ac:dyDescent="0.3">
      <c r="B140" s="5"/>
      <c r="Q140" s="13"/>
      <c r="R140" s="14"/>
      <c r="S140" s="14"/>
    </row>
    <row r="141" spans="2:19" ht="14.25" customHeight="1" x14ac:dyDescent="0.3">
      <c r="B141" s="5"/>
      <c r="Q141" s="13"/>
      <c r="R141" s="14"/>
      <c r="S141" s="14"/>
    </row>
    <row r="142" spans="2:19" ht="14.25" customHeight="1" x14ac:dyDescent="0.3">
      <c r="B142" s="5"/>
      <c r="Q142" s="13"/>
      <c r="R142" s="14"/>
      <c r="S142" s="14"/>
    </row>
    <row r="143" spans="2:19" ht="14.25" customHeight="1" x14ac:dyDescent="0.3">
      <c r="B143" s="5"/>
      <c r="Q143" s="13"/>
      <c r="R143" s="14"/>
      <c r="S143" s="14"/>
    </row>
    <row r="144" spans="2:19" ht="14.25" customHeight="1" x14ac:dyDescent="0.3">
      <c r="B144" s="5"/>
      <c r="Q144" s="13"/>
      <c r="R144" s="14"/>
      <c r="S144" s="14"/>
    </row>
    <row r="145" spans="2:19" ht="14.25" customHeight="1" x14ac:dyDescent="0.3">
      <c r="B145" s="5"/>
      <c r="Q145" s="13"/>
      <c r="R145" s="14"/>
      <c r="S145" s="14"/>
    </row>
    <row r="146" spans="2:19" ht="14.25" customHeight="1" x14ac:dyDescent="0.3">
      <c r="B146" s="5"/>
      <c r="Q146" s="13"/>
      <c r="R146" s="14"/>
      <c r="S146" s="14"/>
    </row>
    <row r="147" spans="2:19" ht="14.25" customHeight="1" x14ac:dyDescent="0.3">
      <c r="B147" s="5"/>
      <c r="Q147" s="13"/>
      <c r="R147" s="14"/>
      <c r="S147" s="14"/>
    </row>
    <row r="148" spans="2:19" ht="14.25" customHeight="1" x14ac:dyDescent="0.3">
      <c r="B148" s="5"/>
      <c r="Q148" s="13"/>
      <c r="R148" s="14"/>
      <c r="S148" s="14"/>
    </row>
    <row r="149" spans="2:19" ht="14.25" customHeight="1" x14ac:dyDescent="0.3">
      <c r="B149" s="5"/>
      <c r="Q149" s="13"/>
      <c r="R149" s="14"/>
      <c r="S149" s="14"/>
    </row>
    <row r="150" spans="2:19" ht="14.25" customHeight="1" x14ac:dyDescent="0.3">
      <c r="B150" s="5"/>
      <c r="Q150" s="13"/>
      <c r="R150" s="14"/>
      <c r="S150" s="14"/>
    </row>
    <row r="151" spans="2:19" ht="14.25" customHeight="1" x14ac:dyDescent="0.3">
      <c r="B151" s="5"/>
      <c r="Q151" s="13"/>
      <c r="R151" s="14"/>
      <c r="S151" s="14"/>
    </row>
    <row r="152" spans="2:19" ht="14.25" customHeight="1" x14ac:dyDescent="0.3">
      <c r="B152" s="5"/>
      <c r="Q152" s="13"/>
      <c r="R152" s="14"/>
      <c r="S152" s="14"/>
    </row>
    <row r="153" spans="2:19" ht="14.25" customHeight="1" x14ac:dyDescent="0.3">
      <c r="B153" s="5"/>
      <c r="Q153" s="13"/>
      <c r="R153" s="14"/>
      <c r="S153" s="14"/>
    </row>
    <row r="154" spans="2:19" ht="14.25" customHeight="1" x14ac:dyDescent="0.3">
      <c r="B154" s="5"/>
      <c r="Q154" s="13"/>
      <c r="R154" s="14"/>
      <c r="S154" s="14"/>
    </row>
    <row r="155" spans="2:19" ht="14.25" customHeight="1" x14ac:dyDescent="0.3">
      <c r="B155" s="5"/>
      <c r="Q155" s="13"/>
      <c r="R155" s="14"/>
      <c r="S155" s="14"/>
    </row>
    <row r="156" spans="2:19" ht="14.25" customHeight="1" x14ac:dyDescent="0.3">
      <c r="B156" s="5"/>
      <c r="Q156" s="13"/>
      <c r="R156" s="14"/>
      <c r="S156" s="14"/>
    </row>
    <row r="157" spans="2:19" ht="14.25" customHeight="1" x14ac:dyDescent="0.3">
      <c r="B157" s="5"/>
      <c r="Q157" s="13"/>
      <c r="R157" s="14"/>
      <c r="S157" s="14"/>
    </row>
    <row r="158" spans="2:19" ht="14.25" customHeight="1" x14ac:dyDescent="0.3">
      <c r="B158" s="5"/>
      <c r="Q158" s="13"/>
      <c r="R158" s="14"/>
      <c r="S158" s="14"/>
    </row>
    <row r="159" spans="2:19" ht="14.25" customHeight="1" x14ac:dyDescent="0.3">
      <c r="B159" s="5"/>
      <c r="Q159" s="13"/>
      <c r="R159" s="14"/>
      <c r="S159" s="14"/>
    </row>
    <row r="160" spans="2:19" ht="14.25" customHeight="1" x14ac:dyDescent="0.3">
      <c r="B160" s="5"/>
      <c r="Q160" s="13"/>
      <c r="R160" s="14"/>
      <c r="S160" s="14"/>
    </row>
    <row r="161" spans="2:19" ht="14.25" customHeight="1" x14ac:dyDescent="0.3">
      <c r="B161" s="5"/>
      <c r="Q161" s="13"/>
      <c r="R161" s="14"/>
      <c r="S161" s="14"/>
    </row>
    <row r="162" spans="2:19" ht="14.25" customHeight="1" x14ac:dyDescent="0.3">
      <c r="B162" s="5"/>
      <c r="Q162" s="13"/>
      <c r="R162" s="14"/>
      <c r="S162" s="14"/>
    </row>
    <row r="163" spans="2:19" ht="14.25" customHeight="1" x14ac:dyDescent="0.3">
      <c r="B163" s="5"/>
      <c r="Q163" s="13"/>
      <c r="R163" s="14"/>
      <c r="S163" s="14"/>
    </row>
    <row r="164" spans="2:19" ht="14.25" customHeight="1" x14ac:dyDescent="0.3">
      <c r="B164" s="5"/>
      <c r="Q164" s="13"/>
      <c r="R164" s="14"/>
      <c r="S164" s="14"/>
    </row>
    <row r="165" spans="2:19" ht="14.25" customHeight="1" x14ac:dyDescent="0.3">
      <c r="B165" s="5"/>
      <c r="Q165" s="13"/>
      <c r="R165" s="14"/>
      <c r="S165" s="14"/>
    </row>
    <row r="166" spans="2:19" ht="14.25" customHeight="1" x14ac:dyDescent="0.3">
      <c r="B166" s="5"/>
      <c r="Q166" s="13"/>
      <c r="R166" s="14"/>
      <c r="S166" s="14"/>
    </row>
    <row r="167" spans="2:19" ht="14.25" customHeight="1" x14ac:dyDescent="0.3">
      <c r="B167" s="5"/>
      <c r="Q167" s="13"/>
      <c r="R167" s="14"/>
      <c r="S167" s="14"/>
    </row>
    <row r="168" spans="2:19" ht="14.25" customHeight="1" x14ac:dyDescent="0.3">
      <c r="B168" s="5"/>
      <c r="Q168" s="13"/>
      <c r="R168" s="14"/>
      <c r="S168" s="14"/>
    </row>
    <row r="169" spans="2:19" ht="14.25" customHeight="1" x14ac:dyDescent="0.3">
      <c r="B169" s="5"/>
      <c r="Q169" s="13"/>
      <c r="R169" s="14"/>
      <c r="S169" s="14"/>
    </row>
    <row r="170" spans="2:19" ht="14.25" customHeight="1" x14ac:dyDescent="0.3">
      <c r="B170" s="5"/>
      <c r="Q170" s="13"/>
      <c r="R170" s="14"/>
      <c r="S170" s="14"/>
    </row>
    <row r="171" spans="2:19" ht="14.25" customHeight="1" x14ac:dyDescent="0.3">
      <c r="B171" s="5"/>
      <c r="Q171" s="13"/>
      <c r="R171" s="14"/>
      <c r="S171" s="14"/>
    </row>
    <row r="172" spans="2:19" ht="14.25" customHeight="1" x14ac:dyDescent="0.3">
      <c r="B172" s="5"/>
      <c r="Q172" s="13"/>
      <c r="R172" s="14"/>
      <c r="S172" s="14"/>
    </row>
    <row r="173" spans="2:19" ht="14.25" customHeight="1" x14ac:dyDescent="0.3">
      <c r="B173" s="5"/>
      <c r="Q173" s="13"/>
      <c r="R173" s="14"/>
      <c r="S173" s="14"/>
    </row>
    <row r="174" spans="2:19" ht="14.25" customHeight="1" x14ac:dyDescent="0.3">
      <c r="B174" s="5"/>
      <c r="Q174" s="13"/>
      <c r="R174" s="14"/>
      <c r="S174" s="14"/>
    </row>
    <row r="175" spans="2:19" ht="14.25" customHeight="1" x14ac:dyDescent="0.3">
      <c r="B175" s="5"/>
      <c r="Q175" s="13"/>
      <c r="R175" s="14"/>
      <c r="S175" s="14"/>
    </row>
    <row r="176" spans="2:19" ht="14.25" customHeight="1" x14ac:dyDescent="0.3">
      <c r="B176" s="5"/>
      <c r="Q176" s="13"/>
      <c r="R176" s="14"/>
      <c r="S176" s="14"/>
    </row>
    <row r="177" spans="2:19" ht="14.25" customHeight="1" x14ac:dyDescent="0.3">
      <c r="B177" s="5"/>
      <c r="Q177" s="13"/>
      <c r="R177" s="14"/>
      <c r="S177" s="14"/>
    </row>
    <row r="178" spans="2:19" ht="14.25" customHeight="1" x14ac:dyDescent="0.3">
      <c r="B178" s="5"/>
      <c r="Q178" s="13"/>
      <c r="R178" s="14"/>
      <c r="S178" s="14"/>
    </row>
    <row r="179" spans="2:19" ht="14.25" customHeight="1" x14ac:dyDescent="0.3">
      <c r="B179" s="5"/>
      <c r="Q179" s="13"/>
      <c r="R179" s="14"/>
      <c r="S179" s="14"/>
    </row>
    <row r="180" spans="2:19" ht="14.25" customHeight="1" x14ac:dyDescent="0.3">
      <c r="B180" s="5"/>
      <c r="Q180" s="13"/>
      <c r="R180" s="14"/>
      <c r="S180" s="14"/>
    </row>
    <row r="181" spans="2:19" ht="14.25" customHeight="1" x14ac:dyDescent="0.3">
      <c r="B181" s="5"/>
      <c r="Q181" s="13"/>
      <c r="R181" s="14"/>
      <c r="S181" s="14"/>
    </row>
    <row r="182" spans="2:19" ht="14.25" customHeight="1" x14ac:dyDescent="0.3">
      <c r="B182" s="5"/>
      <c r="Q182" s="13"/>
      <c r="R182" s="14"/>
      <c r="S182" s="14"/>
    </row>
    <row r="183" spans="2:19" ht="14.25" customHeight="1" x14ac:dyDescent="0.3">
      <c r="B183" s="5"/>
      <c r="Q183" s="13"/>
      <c r="R183" s="14"/>
      <c r="S183" s="14"/>
    </row>
    <row r="184" spans="2:19" ht="14.25" customHeight="1" x14ac:dyDescent="0.3">
      <c r="B184" s="5"/>
      <c r="Q184" s="13"/>
      <c r="R184" s="14"/>
      <c r="S184" s="14"/>
    </row>
    <row r="185" spans="2:19" ht="14.25" customHeight="1" x14ac:dyDescent="0.3">
      <c r="B185" s="5"/>
      <c r="Q185" s="13"/>
      <c r="R185" s="14"/>
      <c r="S185" s="14"/>
    </row>
    <row r="186" spans="2:19" ht="14.25" customHeight="1" x14ac:dyDescent="0.3">
      <c r="B186" s="5"/>
      <c r="Q186" s="13"/>
      <c r="R186" s="14"/>
      <c r="S186" s="14"/>
    </row>
    <row r="187" spans="2:19" ht="14.25" customHeight="1" x14ac:dyDescent="0.3">
      <c r="B187" s="5"/>
      <c r="Q187" s="13"/>
      <c r="R187" s="14"/>
      <c r="S187" s="14"/>
    </row>
    <row r="188" spans="2:19" ht="14.25" customHeight="1" x14ac:dyDescent="0.3">
      <c r="B188" s="5"/>
      <c r="Q188" s="13"/>
      <c r="R188" s="14"/>
      <c r="S188" s="14"/>
    </row>
    <row r="189" spans="2:19" ht="14.25" customHeight="1" x14ac:dyDescent="0.3">
      <c r="B189" s="5"/>
      <c r="Q189" s="13"/>
      <c r="R189" s="14"/>
      <c r="S189" s="14"/>
    </row>
    <row r="190" spans="2:19" ht="14.25" customHeight="1" x14ac:dyDescent="0.3">
      <c r="B190" s="5"/>
      <c r="Q190" s="13"/>
      <c r="R190" s="14"/>
      <c r="S190" s="14"/>
    </row>
    <row r="191" spans="2:19" ht="14.25" customHeight="1" x14ac:dyDescent="0.3">
      <c r="B191" s="5"/>
      <c r="Q191" s="13"/>
      <c r="R191" s="14"/>
      <c r="S191" s="14"/>
    </row>
    <row r="192" spans="2:19" ht="14.25" customHeight="1" x14ac:dyDescent="0.3">
      <c r="B192" s="5"/>
      <c r="Q192" s="13"/>
      <c r="R192" s="14"/>
      <c r="S192" s="14"/>
    </row>
    <row r="193" spans="2:19" ht="14.25" customHeight="1" x14ac:dyDescent="0.3">
      <c r="B193" s="5"/>
      <c r="Q193" s="13"/>
      <c r="R193" s="14"/>
      <c r="S193" s="14"/>
    </row>
    <row r="194" spans="2:19" ht="14.25" customHeight="1" x14ac:dyDescent="0.3">
      <c r="B194" s="5"/>
      <c r="Q194" s="13"/>
      <c r="R194" s="14"/>
      <c r="S194" s="14"/>
    </row>
    <row r="195" spans="2:19" ht="14.25" customHeight="1" x14ac:dyDescent="0.3">
      <c r="B195" s="5"/>
      <c r="Q195" s="13"/>
      <c r="R195" s="14"/>
      <c r="S195" s="14"/>
    </row>
    <row r="196" spans="2:19" ht="14.25" customHeight="1" x14ac:dyDescent="0.3">
      <c r="B196" s="5"/>
      <c r="Q196" s="13"/>
      <c r="R196" s="14"/>
      <c r="S196" s="14"/>
    </row>
    <row r="197" spans="2:19" ht="14.25" customHeight="1" x14ac:dyDescent="0.3">
      <c r="B197" s="5"/>
      <c r="Q197" s="13"/>
      <c r="R197" s="14"/>
      <c r="S197" s="14"/>
    </row>
    <row r="198" spans="2:19" ht="14.25" customHeight="1" x14ac:dyDescent="0.3">
      <c r="B198" s="5"/>
      <c r="Q198" s="13"/>
      <c r="R198" s="14"/>
      <c r="S198" s="14"/>
    </row>
    <row r="199" spans="2:19" ht="14.25" customHeight="1" x14ac:dyDescent="0.3">
      <c r="B199" s="5"/>
      <c r="Q199" s="13"/>
      <c r="R199" s="14"/>
      <c r="S199" s="14"/>
    </row>
    <row r="200" spans="2:19" ht="14.25" customHeight="1" x14ac:dyDescent="0.3">
      <c r="B200" s="5"/>
      <c r="Q200" s="13"/>
      <c r="R200" s="14"/>
      <c r="S200" s="14"/>
    </row>
    <row r="201" spans="2:19" ht="14.25" customHeight="1" x14ac:dyDescent="0.3">
      <c r="B201" s="5"/>
      <c r="Q201" s="13"/>
      <c r="R201" s="14"/>
      <c r="S201" s="14"/>
    </row>
    <row r="202" spans="2:19" ht="14.25" customHeight="1" x14ac:dyDescent="0.3">
      <c r="B202" s="5"/>
      <c r="Q202" s="13"/>
      <c r="R202" s="14"/>
      <c r="S202" s="14"/>
    </row>
    <row r="203" spans="2:19" ht="14.25" customHeight="1" x14ac:dyDescent="0.3">
      <c r="B203" s="5"/>
      <c r="Q203" s="13"/>
      <c r="R203" s="14"/>
      <c r="S203" s="14"/>
    </row>
    <row r="204" spans="2:19" ht="14.25" customHeight="1" x14ac:dyDescent="0.3">
      <c r="B204" s="5"/>
      <c r="Q204" s="13"/>
      <c r="R204" s="14"/>
      <c r="S204" s="14"/>
    </row>
    <row r="205" spans="2:19" ht="14.25" customHeight="1" x14ac:dyDescent="0.3">
      <c r="B205" s="5"/>
      <c r="Q205" s="13"/>
      <c r="R205" s="14"/>
      <c r="S205" s="14"/>
    </row>
    <row r="206" spans="2:19" ht="14.25" customHeight="1" x14ac:dyDescent="0.3">
      <c r="B206" s="5"/>
      <c r="Q206" s="13"/>
      <c r="R206" s="14"/>
      <c r="S206" s="14"/>
    </row>
    <row r="207" spans="2:19" ht="14.25" customHeight="1" x14ac:dyDescent="0.3">
      <c r="B207" s="5"/>
      <c r="Q207" s="13"/>
      <c r="R207" s="14"/>
      <c r="S207" s="14"/>
    </row>
    <row r="208" spans="2:19" ht="14.25" customHeight="1" x14ac:dyDescent="0.3">
      <c r="B208" s="5"/>
      <c r="Q208" s="13"/>
      <c r="R208" s="14"/>
      <c r="S208" s="14"/>
    </row>
    <row r="209" spans="2:19" ht="14.25" customHeight="1" x14ac:dyDescent="0.3">
      <c r="B209" s="5"/>
      <c r="Q209" s="13"/>
      <c r="R209" s="14"/>
      <c r="S209" s="14"/>
    </row>
    <row r="210" spans="2:19" ht="14.25" customHeight="1" x14ac:dyDescent="0.3">
      <c r="B210" s="5"/>
      <c r="Q210" s="13"/>
      <c r="R210" s="14"/>
      <c r="S210" s="14"/>
    </row>
    <row r="211" spans="2:19" ht="14.25" customHeight="1" x14ac:dyDescent="0.3">
      <c r="B211" s="5"/>
      <c r="Q211" s="13"/>
      <c r="R211" s="14"/>
      <c r="S211" s="14"/>
    </row>
    <row r="212" spans="2:19" ht="14.25" customHeight="1" x14ac:dyDescent="0.3">
      <c r="B212" s="5"/>
      <c r="Q212" s="13"/>
      <c r="R212" s="14"/>
      <c r="S212" s="14"/>
    </row>
    <row r="213" spans="2:19" ht="14.25" customHeight="1" x14ac:dyDescent="0.3">
      <c r="B213" s="5"/>
      <c r="Q213" s="13"/>
      <c r="R213" s="14"/>
      <c r="S213" s="14"/>
    </row>
    <row r="214" spans="2:19" ht="14.25" customHeight="1" x14ac:dyDescent="0.3">
      <c r="B214" s="5"/>
      <c r="Q214" s="13"/>
      <c r="R214" s="14"/>
      <c r="S214" s="14"/>
    </row>
    <row r="215" spans="2:19" ht="14.25" customHeight="1" x14ac:dyDescent="0.3">
      <c r="B215" s="5"/>
      <c r="Q215" s="13"/>
      <c r="R215" s="14"/>
      <c r="S215" s="14"/>
    </row>
    <row r="216" spans="2:19" ht="14.25" customHeight="1" x14ac:dyDescent="0.3">
      <c r="B216" s="5"/>
      <c r="Q216" s="13"/>
      <c r="R216" s="14"/>
      <c r="S216" s="14"/>
    </row>
    <row r="217" spans="2:19" ht="14.25" customHeight="1" x14ac:dyDescent="0.3">
      <c r="B217" s="5"/>
      <c r="Q217" s="13"/>
      <c r="R217" s="14"/>
      <c r="S217" s="14"/>
    </row>
    <row r="218" spans="2:19" ht="14.25" customHeight="1" x14ac:dyDescent="0.3">
      <c r="B218" s="5"/>
      <c r="Q218" s="13"/>
      <c r="R218" s="14"/>
      <c r="S218" s="14"/>
    </row>
    <row r="219" spans="2:19" ht="14.25" customHeight="1" x14ac:dyDescent="0.3">
      <c r="B219" s="5"/>
      <c r="Q219" s="13"/>
      <c r="R219" s="14"/>
      <c r="S219" s="14"/>
    </row>
    <row r="220" spans="2:19" ht="14.25" customHeight="1" x14ac:dyDescent="0.3">
      <c r="B220" s="5"/>
      <c r="Q220" s="13"/>
      <c r="R220" s="14"/>
      <c r="S220" s="14"/>
    </row>
    <row r="221" spans="2:19" ht="14.25" customHeight="1" x14ac:dyDescent="0.3">
      <c r="B221" s="5"/>
      <c r="Q221" s="13"/>
      <c r="R221" s="14"/>
      <c r="S221" s="14"/>
    </row>
    <row r="222" spans="2:19" ht="14.25" customHeight="1" x14ac:dyDescent="0.3">
      <c r="B222" s="5"/>
      <c r="Q222" s="13"/>
      <c r="R222" s="14"/>
      <c r="S222" s="14"/>
    </row>
    <row r="223" spans="2:19" ht="14.25" customHeight="1" x14ac:dyDescent="0.3">
      <c r="B223" s="5"/>
      <c r="Q223" s="13"/>
      <c r="R223" s="14"/>
      <c r="S223" s="14"/>
    </row>
    <row r="224" spans="2:19" ht="14.25" customHeight="1" x14ac:dyDescent="0.3">
      <c r="B224" s="5"/>
      <c r="Q224" s="13"/>
      <c r="R224" s="14"/>
      <c r="S224" s="14"/>
    </row>
    <row r="225" spans="2:19" ht="14.25" customHeight="1" x14ac:dyDescent="0.3">
      <c r="B225" s="5"/>
      <c r="Q225" s="13"/>
      <c r="R225" s="14"/>
      <c r="S225" s="14"/>
    </row>
    <row r="226" spans="2:19" ht="14.25" customHeight="1" x14ac:dyDescent="0.3">
      <c r="B226" s="5"/>
      <c r="Q226" s="13"/>
      <c r="R226" s="14"/>
      <c r="S226" s="14"/>
    </row>
    <row r="227" spans="2:19" ht="14.25" customHeight="1" x14ac:dyDescent="0.3">
      <c r="B227" s="5"/>
      <c r="Q227" s="13"/>
      <c r="R227" s="14"/>
      <c r="S227" s="14"/>
    </row>
    <row r="228" spans="2:19" ht="14.25" customHeight="1" x14ac:dyDescent="0.3">
      <c r="B228" s="5"/>
      <c r="Q228" s="13"/>
      <c r="R228" s="14"/>
      <c r="S228" s="14"/>
    </row>
    <row r="229" spans="2:19" ht="14.25" customHeight="1" x14ac:dyDescent="0.3">
      <c r="B229" s="5"/>
      <c r="Q229" s="13"/>
      <c r="R229" s="14"/>
      <c r="S229" s="14"/>
    </row>
    <row r="230" spans="2:19" ht="14.25" customHeight="1" x14ac:dyDescent="0.3">
      <c r="B230" s="5"/>
      <c r="Q230" s="13"/>
      <c r="R230" s="14"/>
      <c r="S230" s="14"/>
    </row>
    <row r="231" spans="2:19" ht="14.25" customHeight="1" x14ac:dyDescent="0.3">
      <c r="B231" s="5"/>
      <c r="Q231" s="13"/>
      <c r="R231" s="14"/>
      <c r="S231" s="14"/>
    </row>
    <row r="232" spans="2:19" ht="14.25" customHeight="1" x14ac:dyDescent="0.3">
      <c r="B232" s="5"/>
      <c r="Q232" s="13"/>
      <c r="R232" s="14"/>
      <c r="S232" s="14"/>
    </row>
    <row r="233" spans="2:19" ht="14.25" customHeight="1" x14ac:dyDescent="0.3">
      <c r="B233" s="5"/>
      <c r="Q233" s="13"/>
      <c r="R233" s="14"/>
      <c r="S233" s="14"/>
    </row>
    <row r="234" spans="2:19" ht="14.25" customHeight="1" x14ac:dyDescent="0.3">
      <c r="B234" s="5"/>
      <c r="Q234" s="13"/>
      <c r="R234" s="14"/>
      <c r="S234" s="14"/>
    </row>
    <row r="235" spans="2:19" ht="14.25" customHeight="1" x14ac:dyDescent="0.3">
      <c r="B235" s="5"/>
      <c r="Q235" s="13"/>
      <c r="R235" s="14"/>
      <c r="S235" s="14"/>
    </row>
    <row r="236" spans="2:19" ht="14.25" customHeight="1" x14ac:dyDescent="0.3">
      <c r="B236" s="5"/>
      <c r="Q236" s="13"/>
      <c r="R236" s="14"/>
      <c r="S236" s="14"/>
    </row>
    <row r="237" spans="2:19" ht="14.25" customHeight="1" x14ac:dyDescent="0.3">
      <c r="B237" s="5"/>
      <c r="Q237" s="13"/>
      <c r="R237" s="14"/>
      <c r="S237" s="14"/>
    </row>
    <row r="238" spans="2:19" ht="14.25" customHeight="1" x14ac:dyDescent="0.3">
      <c r="B238" s="5"/>
      <c r="Q238" s="13"/>
      <c r="R238" s="14"/>
      <c r="S238" s="14"/>
    </row>
    <row r="239" spans="2:19" ht="14.25" customHeight="1" x14ac:dyDescent="0.3">
      <c r="B239" s="5"/>
      <c r="Q239" s="13"/>
      <c r="R239" s="14"/>
      <c r="S239" s="14"/>
    </row>
    <row r="240" spans="2:19" ht="14.25" customHeight="1" x14ac:dyDescent="0.3">
      <c r="B240" s="5"/>
      <c r="Q240" s="13"/>
      <c r="R240" s="14"/>
      <c r="S240" s="14"/>
    </row>
    <row r="241" spans="2:19" ht="14.25" customHeight="1" x14ac:dyDescent="0.3">
      <c r="B241" s="5"/>
      <c r="Q241" s="13"/>
      <c r="R241" s="14"/>
      <c r="S241" s="14"/>
    </row>
    <row r="242" spans="2:19" ht="14.25" customHeight="1" x14ac:dyDescent="0.3">
      <c r="B242" s="5"/>
      <c r="Q242" s="13"/>
      <c r="R242" s="14"/>
      <c r="S242" s="14"/>
    </row>
    <row r="243" spans="2:19" ht="14.25" customHeight="1" x14ac:dyDescent="0.3">
      <c r="B243" s="5"/>
      <c r="Q243" s="13"/>
      <c r="R243" s="14"/>
      <c r="S243" s="14"/>
    </row>
    <row r="244" spans="2:19" ht="14.25" customHeight="1" x14ac:dyDescent="0.3">
      <c r="B244" s="5"/>
      <c r="Q244" s="13"/>
      <c r="R244" s="14"/>
      <c r="S244" s="14"/>
    </row>
    <row r="245" spans="2:19" ht="14.25" customHeight="1" x14ac:dyDescent="0.3">
      <c r="B245" s="5"/>
      <c r="Q245" s="13"/>
      <c r="R245" s="14"/>
      <c r="S245" s="14"/>
    </row>
    <row r="246" spans="2:19" ht="14.25" customHeight="1" x14ac:dyDescent="0.3">
      <c r="B246" s="5"/>
      <c r="Q246" s="13"/>
      <c r="R246" s="14"/>
      <c r="S246" s="14"/>
    </row>
    <row r="247" spans="2:19" ht="14.25" customHeight="1" x14ac:dyDescent="0.3">
      <c r="B247" s="5"/>
      <c r="Q247" s="13"/>
      <c r="R247" s="14"/>
      <c r="S247" s="14"/>
    </row>
    <row r="248" spans="2:19" ht="14.25" customHeight="1" x14ac:dyDescent="0.3">
      <c r="B248" s="5"/>
      <c r="Q248" s="13"/>
      <c r="R248" s="14"/>
      <c r="S248" s="14"/>
    </row>
    <row r="249" spans="2:19" ht="14.25" customHeight="1" x14ac:dyDescent="0.3">
      <c r="B249" s="5"/>
      <c r="Q249" s="13"/>
      <c r="R249" s="14"/>
      <c r="S249" s="14"/>
    </row>
    <row r="250" spans="2:19" ht="14.25" customHeight="1" x14ac:dyDescent="0.3">
      <c r="B250" s="5"/>
      <c r="Q250" s="13"/>
      <c r="R250" s="14"/>
      <c r="S250" s="14"/>
    </row>
    <row r="251" spans="2:19" ht="14.25" customHeight="1" x14ac:dyDescent="0.3">
      <c r="B251" s="5"/>
      <c r="Q251" s="13"/>
      <c r="R251" s="14"/>
      <c r="S251" s="14"/>
    </row>
    <row r="252" spans="2:19" ht="14.25" customHeight="1" x14ac:dyDescent="0.3">
      <c r="B252" s="5"/>
      <c r="Q252" s="13"/>
      <c r="R252" s="14"/>
      <c r="S252" s="14"/>
    </row>
    <row r="253" spans="2:19" ht="14.25" customHeight="1" x14ac:dyDescent="0.3">
      <c r="B253" s="5"/>
      <c r="Q253" s="13"/>
      <c r="R253" s="14"/>
      <c r="S253" s="14"/>
    </row>
    <row r="254" spans="2:19" ht="14.25" customHeight="1" x14ac:dyDescent="0.3">
      <c r="B254" s="5"/>
      <c r="Q254" s="13"/>
      <c r="R254" s="14"/>
      <c r="S254" s="14"/>
    </row>
    <row r="255" spans="2:19" ht="14.25" customHeight="1" x14ac:dyDescent="0.3">
      <c r="B255" s="5"/>
      <c r="Q255" s="13"/>
      <c r="R255" s="14"/>
      <c r="S255" s="14"/>
    </row>
    <row r="256" spans="2:19" ht="14.25" customHeight="1" x14ac:dyDescent="0.3">
      <c r="B256" s="5"/>
      <c r="Q256" s="13"/>
      <c r="R256" s="14"/>
      <c r="S256" s="14"/>
    </row>
    <row r="257" spans="2:19" ht="14.25" customHeight="1" x14ac:dyDescent="0.3">
      <c r="B257" s="5"/>
      <c r="Q257" s="13"/>
      <c r="R257" s="14"/>
      <c r="S257" s="14"/>
    </row>
    <row r="258" spans="2:19" ht="14.25" customHeight="1" x14ac:dyDescent="0.3">
      <c r="B258" s="5"/>
      <c r="Q258" s="13"/>
      <c r="R258" s="14"/>
      <c r="S258" s="14"/>
    </row>
    <row r="259" spans="2:19" ht="14.25" customHeight="1" x14ac:dyDescent="0.3">
      <c r="B259" s="5"/>
      <c r="Q259" s="13"/>
      <c r="R259" s="14"/>
      <c r="S259" s="14"/>
    </row>
    <row r="260" spans="2:19" ht="14.25" customHeight="1" x14ac:dyDescent="0.3">
      <c r="B260" s="5"/>
      <c r="Q260" s="13"/>
      <c r="R260" s="14"/>
      <c r="S260" s="14"/>
    </row>
    <row r="261" spans="2:19" ht="14.25" customHeight="1" x14ac:dyDescent="0.3">
      <c r="B261" s="5"/>
      <c r="Q261" s="13"/>
      <c r="R261" s="14"/>
      <c r="S261" s="14"/>
    </row>
    <row r="262" spans="2:19" ht="14.25" customHeight="1" x14ac:dyDescent="0.3">
      <c r="B262" s="5"/>
      <c r="Q262" s="13"/>
      <c r="R262" s="14"/>
      <c r="S262" s="14"/>
    </row>
    <row r="263" spans="2:19" ht="14.25" customHeight="1" x14ac:dyDescent="0.3">
      <c r="B263" s="5"/>
      <c r="Q263" s="13"/>
      <c r="R263" s="14"/>
      <c r="S263" s="14"/>
    </row>
    <row r="264" spans="2:19" ht="14.25" customHeight="1" x14ac:dyDescent="0.3">
      <c r="B264" s="5"/>
      <c r="Q264" s="13"/>
      <c r="R264" s="14"/>
      <c r="S264" s="14"/>
    </row>
    <row r="265" spans="2:19" ht="14.25" customHeight="1" x14ac:dyDescent="0.3">
      <c r="B265" s="5"/>
      <c r="Q265" s="13"/>
      <c r="R265" s="14"/>
      <c r="S265" s="14"/>
    </row>
    <row r="266" spans="2:19" ht="14.25" customHeight="1" x14ac:dyDescent="0.3">
      <c r="B266" s="5"/>
      <c r="Q266" s="13"/>
      <c r="R266" s="14"/>
      <c r="S266" s="14"/>
    </row>
    <row r="267" spans="2:19" ht="14.25" customHeight="1" x14ac:dyDescent="0.3">
      <c r="B267" s="5"/>
      <c r="Q267" s="13"/>
      <c r="R267" s="14"/>
      <c r="S267" s="14"/>
    </row>
    <row r="268" spans="2:19" ht="14.25" customHeight="1" x14ac:dyDescent="0.3">
      <c r="B268" s="5"/>
      <c r="Q268" s="13"/>
      <c r="R268" s="14"/>
      <c r="S268" s="14"/>
    </row>
    <row r="269" spans="2:19" ht="14.25" customHeight="1" x14ac:dyDescent="0.3">
      <c r="B269" s="5"/>
      <c r="Q269" s="13"/>
      <c r="R269" s="14"/>
      <c r="S269" s="14"/>
    </row>
    <row r="270" spans="2:19" ht="14.25" customHeight="1" x14ac:dyDescent="0.3">
      <c r="B270" s="5"/>
      <c r="Q270" s="13"/>
      <c r="R270" s="14"/>
      <c r="S270" s="14"/>
    </row>
    <row r="271" spans="2:19" ht="14.25" customHeight="1" x14ac:dyDescent="0.3">
      <c r="B271" s="5"/>
      <c r="Q271" s="13"/>
      <c r="R271" s="14"/>
      <c r="S271" s="14"/>
    </row>
    <row r="272" spans="2:19" ht="14.25" customHeight="1" x14ac:dyDescent="0.3">
      <c r="B272" s="5"/>
      <c r="Q272" s="13"/>
      <c r="R272" s="14"/>
      <c r="S272" s="14"/>
    </row>
    <row r="273" spans="2:19" ht="14.25" customHeight="1" x14ac:dyDescent="0.3">
      <c r="B273" s="5"/>
      <c r="Q273" s="13"/>
      <c r="R273" s="14"/>
      <c r="S273" s="14"/>
    </row>
    <row r="274" spans="2:19" ht="14.25" customHeight="1" x14ac:dyDescent="0.3">
      <c r="B274" s="5"/>
      <c r="Q274" s="13"/>
      <c r="R274" s="14"/>
      <c r="S274" s="14"/>
    </row>
    <row r="275" spans="2:19" ht="14.25" customHeight="1" x14ac:dyDescent="0.3">
      <c r="B275" s="5"/>
      <c r="Q275" s="13"/>
      <c r="R275" s="14"/>
      <c r="S275" s="14"/>
    </row>
    <row r="276" spans="2:19" ht="14.25" customHeight="1" x14ac:dyDescent="0.3">
      <c r="B276" s="5"/>
      <c r="Q276" s="13"/>
      <c r="R276" s="14"/>
      <c r="S276" s="14"/>
    </row>
    <row r="277" spans="2:19" ht="14.25" customHeight="1" x14ac:dyDescent="0.3">
      <c r="B277" s="5"/>
      <c r="Q277" s="13"/>
      <c r="R277" s="14"/>
      <c r="S277" s="14"/>
    </row>
    <row r="278" spans="2:19" ht="14.25" customHeight="1" x14ac:dyDescent="0.3">
      <c r="B278" s="5"/>
      <c r="Q278" s="13"/>
      <c r="R278" s="14"/>
      <c r="S278" s="14"/>
    </row>
    <row r="279" spans="2:19" ht="14.25" customHeight="1" x14ac:dyDescent="0.3">
      <c r="B279" s="5"/>
      <c r="Q279" s="13"/>
      <c r="R279" s="14"/>
      <c r="S279" s="14"/>
    </row>
    <row r="280" spans="2:19" ht="14.25" customHeight="1" x14ac:dyDescent="0.3">
      <c r="B280" s="5"/>
      <c r="Q280" s="13"/>
      <c r="R280" s="14"/>
      <c r="S280" s="14"/>
    </row>
    <row r="281" spans="2:19" ht="14.25" customHeight="1" x14ac:dyDescent="0.3">
      <c r="B281" s="5"/>
      <c r="Q281" s="13"/>
      <c r="R281" s="14"/>
      <c r="S281" s="14"/>
    </row>
    <row r="282" spans="2:19" ht="14.25" customHeight="1" x14ac:dyDescent="0.3">
      <c r="B282" s="5"/>
      <c r="Q282" s="13"/>
      <c r="R282" s="14"/>
      <c r="S282" s="14"/>
    </row>
    <row r="283" spans="2:19" ht="14.25" customHeight="1" x14ac:dyDescent="0.3">
      <c r="B283" s="5"/>
      <c r="Q283" s="13"/>
      <c r="R283" s="14"/>
      <c r="S283" s="14"/>
    </row>
    <row r="284" spans="2:19" ht="14.25" customHeight="1" x14ac:dyDescent="0.3">
      <c r="B284" s="5"/>
      <c r="Q284" s="13"/>
      <c r="R284" s="14"/>
      <c r="S284" s="14"/>
    </row>
    <row r="285" spans="2:19" ht="14.25" customHeight="1" x14ac:dyDescent="0.3">
      <c r="B285" s="5"/>
      <c r="Q285" s="13"/>
      <c r="R285" s="14"/>
      <c r="S285" s="14"/>
    </row>
    <row r="286" spans="2:19" ht="14.25" customHeight="1" x14ac:dyDescent="0.3">
      <c r="B286" s="5"/>
      <c r="Q286" s="13"/>
      <c r="R286" s="14"/>
      <c r="S286" s="14"/>
    </row>
    <row r="287" spans="2:19" ht="14.25" customHeight="1" x14ac:dyDescent="0.3">
      <c r="B287" s="5"/>
      <c r="Q287" s="13"/>
      <c r="R287" s="14"/>
      <c r="S287" s="14"/>
    </row>
    <row r="288" spans="2:19" ht="14.25" customHeight="1" x14ac:dyDescent="0.3">
      <c r="B288" s="5"/>
      <c r="Q288" s="13"/>
      <c r="R288" s="14"/>
      <c r="S288" s="14"/>
    </row>
    <row r="289" spans="2:19" ht="14.25" customHeight="1" x14ac:dyDescent="0.3">
      <c r="B289" s="5"/>
      <c r="Q289" s="13"/>
      <c r="R289" s="14"/>
      <c r="S289" s="14"/>
    </row>
    <row r="290" spans="2:19" ht="14.25" customHeight="1" x14ac:dyDescent="0.3">
      <c r="B290" s="5"/>
      <c r="Q290" s="13"/>
      <c r="R290" s="14"/>
      <c r="S290" s="14"/>
    </row>
    <row r="291" spans="2:19" ht="14.25" customHeight="1" x14ac:dyDescent="0.3">
      <c r="B291" s="5"/>
      <c r="Q291" s="13"/>
      <c r="R291" s="14"/>
      <c r="S291" s="14"/>
    </row>
    <row r="292" spans="2:19" ht="14.25" customHeight="1" x14ac:dyDescent="0.3">
      <c r="B292" s="5"/>
      <c r="Q292" s="13"/>
      <c r="R292" s="14"/>
      <c r="S292" s="14"/>
    </row>
    <row r="293" spans="2:19" ht="14.25" customHeight="1" x14ac:dyDescent="0.3">
      <c r="B293" s="5"/>
      <c r="Q293" s="13"/>
      <c r="R293" s="14"/>
      <c r="S293" s="14"/>
    </row>
    <row r="294" spans="2:19" ht="14.25" customHeight="1" x14ac:dyDescent="0.3">
      <c r="B294" s="5"/>
      <c r="Q294" s="13"/>
      <c r="R294" s="14"/>
      <c r="S294" s="14"/>
    </row>
    <row r="295" spans="2:19" ht="14.25" customHeight="1" x14ac:dyDescent="0.3">
      <c r="B295" s="5"/>
      <c r="Q295" s="13"/>
      <c r="R295" s="14"/>
      <c r="S295" s="14"/>
    </row>
    <row r="296" spans="2:19" ht="14.25" customHeight="1" x14ac:dyDescent="0.3">
      <c r="B296" s="5"/>
      <c r="Q296" s="13"/>
      <c r="R296" s="14"/>
      <c r="S296" s="14"/>
    </row>
    <row r="297" spans="2:19" ht="14.25" customHeight="1" x14ac:dyDescent="0.3">
      <c r="B297" s="5"/>
      <c r="Q297" s="13"/>
      <c r="R297" s="14"/>
      <c r="S297" s="14"/>
    </row>
    <row r="298" spans="2:19" ht="14.25" customHeight="1" x14ac:dyDescent="0.3">
      <c r="B298" s="5"/>
      <c r="Q298" s="13"/>
      <c r="R298" s="14"/>
      <c r="S298" s="14"/>
    </row>
    <row r="299" spans="2:19" ht="14.25" customHeight="1" x14ac:dyDescent="0.3">
      <c r="B299" s="5"/>
      <c r="Q299" s="13"/>
      <c r="R299" s="14"/>
      <c r="S299" s="14"/>
    </row>
    <row r="300" spans="2:19" ht="14.25" customHeight="1" x14ac:dyDescent="0.3">
      <c r="B300" s="5"/>
      <c r="Q300" s="13"/>
      <c r="R300" s="14"/>
      <c r="S300" s="14"/>
    </row>
    <row r="301" spans="2:19" ht="14.25" customHeight="1" x14ac:dyDescent="0.3">
      <c r="B301" s="5"/>
      <c r="Q301" s="13"/>
      <c r="R301" s="14"/>
      <c r="S301" s="14"/>
    </row>
    <row r="302" spans="2:19" ht="14.25" customHeight="1" x14ac:dyDescent="0.3">
      <c r="B302" s="5"/>
      <c r="Q302" s="13"/>
      <c r="R302" s="14"/>
      <c r="S302" s="14"/>
    </row>
    <row r="303" spans="2:19" ht="14.25" customHeight="1" x14ac:dyDescent="0.3">
      <c r="B303" s="5"/>
      <c r="Q303" s="13"/>
      <c r="R303" s="14"/>
      <c r="S303" s="14"/>
    </row>
    <row r="304" spans="2:19" ht="14.25" customHeight="1" x14ac:dyDescent="0.3">
      <c r="B304" s="5"/>
      <c r="Q304" s="13"/>
      <c r="R304" s="14"/>
      <c r="S304" s="14"/>
    </row>
    <row r="305" spans="2:19" ht="14.25" customHeight="1" x14ac:dyDescent="0.3">
      <c r="B305" s="5"/>
      <c r="Q305" s="13"/>
      <c r="R305" s="14"/>
      <c r="S305" s="14"/>
    </row>
    <row r="306" spans="2:19" ht="14.25" customHeight="1" x14ac:dyDescent="0.3">
      <c r="B306" s="5"/>
      <c r="Q306" s="13"/>
      <c r="R306" s="14"/>
      <c r="S306" s="14"/>
    </row>
    <row r="307" spans="2:19" ht="14.25" customHeight="1" x14ac:dyDescent="0.3">
      <c r="B307" s="5"/>
      <c r="Q307" s="13"/>
      <c r="R307" s="14"/>
      <c r="S307" s="14"/>
    </row>
    <row r="308" spans="2:19" ht="14.25" customHeight="1" x14ac:dyDescent="0.3">
      <c r="B308" s="5"/>
      <c r="Q308" s="13"/>
      <c r="R308" s="14"/>
      <c r="S308" s="14"/>
    </row>
    <row r="309" spans="2:19" ht="14.25" customHeight="1" x14ac:dyDescent="0.3">
      <c r="B309" s="5"/>
      <c r="Q309" s="13"/>
      <c r="R309" s="14"/>
      <c r="S309" s="14"/>
    </row>
    <row r="310" spans="2:19" ht="14.25" customHeight="1" x14ac:dyDescent="0.3">
      <c r="B310" s="5"/>
      <c r="Q310" s="13"/>
      <c r="R310" s="14"/>
      <c r="S310" s="14"/>
    </row>
    <row r="311" spans="2:19" ht="14.25" customHeight="1" x14ac:dyDescent="0.3">
      <c r="B311" s="5"/>
      <c r="Q311" s="13"/>
      <c r="R311" s="14"/>
      <c r="S311" s="14"/>
    </row>
    <row r="312" spans="2:19" ht="14.25" customHeight="1" x14ac:dyDescent="0.3">
      <c r="B312" s="5"/>
      <c r="Q312" s="13"/>
      <c r="R312" s="14"/>
      <c r="S312" s="14"/>
    </row>
    <row r="313" spans="2:19" ht="14.25" customHeight="1" x14ac:dyDescent="0.3">
      <c r="B313" s="5"/>
      <c r="Q313" s="13"/>
      <c r="R313" s="14"/>
      <c r="S313" s="14"/>
    </row>
    <row r="314" spans="2:19" ht="14.25" customHeight="1" x14ac:dyDescent="0.3">
      <c r="B314" s="5"/>
      <c r="Q314" s="13"/>
      <c r="R314" s="14"/>
      <c r="S314" s="14"/>
    </row>
    <row r="315" spans="2:19" ht="14.25" customHeight="1" x14ac:dyDescent="0.3">
      <c r="B315" s="5"/>
      <c r="Q315" s="13"/>
      <c r="R315" s="14"/>
      <c r="S315" s="14"/>
    </row>
    <row r="316" spans="2:19" ht="14.25" customHeight="1" x14ac:dyDescent="0.3">
      <c r="B316" s="5"/>
      <c r="Q316" s="13"/>
      <c r="R316" s="14"/>
      <c r="S316" s="14"/>
    </row>
    <row r="317" spans="2:19" ht="14.25" customHeight="1" x14ac:dyDescent="0.3">
      <c r="B317" s="5"/>
      <c r="Q317" s="13"/>
      <c r="R317" s="14"/>
      <c r="S317" s="14"/>
    </row>
    <row r="318" spans="2:19" ht="14.25" customHeight="1" x14ac:dyDescent="0.3">
      <c r="B318" s="5"/>
      <c r="Q318" s="13"/>
      <c r="R318" s="14"/>
      <c r="S318" s="14"/>
    </row>
    <row r="319" spans="2:19" ht="14.25" customHeight="1" x14ac:dyDescent="0.3">
      <c r="B319" s="5"/>
      <c r="Q319" s="13"/>
      <c r="R319" s="14"/>
      <c r="S319" s="14"/>
    </row>
    <row r="320" spans="2:19" ht="14.25" customHeight="1" x14ac:dyDescent="0.3">
      <c r="B320" s="5"/>
      <c r="Q320" s="13"/>
      <c r="R320" s="14"/>
      <c r="S320" s="14"/>
    </row>
    <row r="321" spans="2:19" ht="14.25" customHeight="1" x14ac:dyDescent="0.3">
      <c r="B321" s="5"/>
      <c r="Q321" s="13"/>
      <c r="R321" s="14"/>
      <c r="S321" s="14"/>
    </row>
    <row r="322" spans="2:19" ht="14.25" customHeight="1" x14ac:dyDescent="0.3">
      <c r="B322" s="5"/>
      <c r="Q322" s="13"/>
      <c r="R322" s="14"/>
      <c r="S322" s="14"/>
    </row>
    <row r="323" spans="2:19" ht="14.25" customHeight="1" x14ac:dyDescent="0.3">
      <c r="B323" s="5"/>
      <c r="Q323" s="13"/>
      <c r="R323" s="14"/>
      <c r="S323" s="14"/>
    </row>
    <row r="324" spans="2:19" ht="14.25" customHeight="1" x14ac:dyDescent="0.3">
      <c r="B324" s="5"/>
      <c r="Q324" s="13"/>
      <c r="R324" s="14"/>
      <c r="S324" s="14"/>
    </row>
    <row r="325" spans="2:19" ht="14.25" customHeight="1" x14ac:dyDescent="0.3">
      <c r="B325" s="5"/>
      <c r="Q325" s="13"/>
      <c r="R325" s="14"/>
      <c r="S325" s="14"/>
    </row>
    <row r="326" spans="2:19" ht="14.25" customHeight="1" x14ac:dyDescent="0.3">
      <c r="B326" s="5"/>
      <c r="Q326" s="13"/>
      <c r="R326" s="14"/>
      <c r="S326" s="14"/>
    </row>
    <row r="327" spans="2:19" ht="14.25" customHeight="1" x14ac:dyDescent="0.3">
      <c r="B327" s="5"/>
      <c r="Q327" s="13"/>
      <c r="R327" s="14"/>
      <c r="S327" s="14"/>
    </row>
    <row r="328" spans="2:19" ht="14.25" customHeight="1" x14ac:dyDescent="0.3">
      <c r="B328" s="5"/>
      <c r="Q328" s="13"/>
      <c r="R328" s="14"/>
      <c r="S328" s="14"/>
    </row>
    <row r="329" spans="2:19" ht="14.25" customHeight="1" x14ac:dyDescent="0.3">
      <c r="B329" s="5"/>
      <c r="Q329" s="13"/>
      <c r="R329" s="14"/>
      <c r="S329" s="14"/>
    </row>
    <row r="330" spans="2:19" ht="14.25" customHeight="1" x14ac:dyDescent="0.3">
      <c r="B330" s="5"/>
      <c r="Q330" s="13"/>
      <c r="R330" s="14"/>
      <c r="S330" s="14"/>
    </row>
    <row r="331" spans="2:19" ht="14.25" customHeight="1" x14ac:dyDescent="0.3">
      <c r="B331" s="5"/>
      <c r="Q331" s="13"/>
      <c r="R331" s="14"/>
      <c r="S331" s="14"/>
    </row>
    <row r="332" spans="2:19" ht="14.25" customHeight="1" x14ac:dyDescent="0.3">
      <c r="B332" s="5"/>
      <c r="Q332" s="13"/>
      <c r="R332" s="14"/>
      <c r="S332" s="14"/>
    </row>
    <row r="333" spans="2:19" ht="14.25" customHeight="1" x14ac:dyDescent="0.3">
      <c r="B333" s="5"/>
      <c r="Q333" s="13"/>
      <c r="R333" s="14"/>
      <c r="S333" s="14"/>
    </row>
    <row r="334" spans="2:19" ht="14.25" customHeight="1" x14ac:dyDescent="0.3">
      <c r="B334" s="5"/>
      <c r="Q334" s="13"/>
      <c r="R334" s="14"/>
      <c r="S334" s="14"/>
    </row>
    <row r="335" spans="2:19" ht="14.25" customHeight="1" x14ac:dyDescent="0.3">
      <c r="B335" s="5"/>
      <c r="Q335" s="13"/>
      <c r="R335" s="14"/>
      <c r="S335" s="14"/>
    </row>
    <row r="336" spans="2:19" ht="14.25" customHeight="1" x14ac:dyDescent="0.3">
      <c r="B336" s="5"/>
      <c r="Q336" s="13"/>
      <c r="R336" s="14"/>
      <c r="S336" s="14"/>
    </row>
    <row r="337" spans="2:19" ht="14.25" customHeight="1" x14ac:dyDescent="0.3">
      <c r="B337" s="5"/>
      <c r="Q337" s="13"/>
      <c r="R337" s="14"/>
      <c r="S337" s="14"/>
    </row>
    <row r="338" spans="2:19" ht="14.25" customHeight="1" x14ac:dyDescent="0.3">
      <c r="B338" s="5"/>
      <c r="Q338" s="13"/>
      <c r="R338" s="14"/>
      <c r="S338" s="14"/>
    </row>
    <row r="339" spans="2:19" ht="14.25" customHeight="1" x14ac:dyDescent="0.3">
      <c r="B339" s="5"/>
      <c r="Q339" s="13"/>
      <c r="R339" s="14"/>
      <c r="S339" s="14"/>
    </row>
    <row r="340" spans="2:19" ht="14.25" customHeight="1" x14ac:dyDescent="0.3">
      <c r="B340" s="5"/>
      <c r="Q340" s="13"/>
      <c r="R340" s="14"/>
      <c r="S340" s="14"/>
    </row>
    <row r="341" spans="2:19" ht="14.25" customHeight="1" x14ac:dyDescent="0.3">
      <c r="B341" s="5"/>
      <c r="Q341" s="13"/>
      <c r="R341" s="14"/>
      <c r="S341" s="14"/>
    </row>
    <row r="342" spans="2:19" ht="14.25" customHeight="1" x14ac:dyDescent="0.3">
      <c r="B342" s="5"/>
      <c r="Q342" s="13"/>
      <c r="R342" s="14"/>
      <c r="S342" s="14"/>
    </row>
    <row r="343" spans="2:19" ht="14.25" customHeight="1" x14ac:dyDescent="0.3">
      <c r="B343" s="5"/>
      <c r="Q343" s="13"/>
      <c r="R343" s="14"/>
      <c r="S343" s="14"/>
    </row>
    <row r="344" spans="2:19" ht="14.25" customHeight="1" x14ac:dyDescent="0.3">
      <c r="B344" s="5"/>
      <c r="Q344" s="13"/>
      <c r="R344" s="14"/>
      <c r="S344" s="14"/>
    </row>
    <row r="345" spans="2:19" ht="14.25" customHeight="1" x14ac:dyDescent="0.3">
      <c r="B345" s="5"/>
      <c r="Q345" s="13"/>
      <c r="R345" s="14"/>
      <c r="S345" s="14"/>
    </row>
    <row r="346" spans="2:19" ht="14.25" customHeight="1" x14ac:dyDescent="0.3">
      <c r="B346" s="5"/>
      <c r="Q346" s="13"/>
      <c r="R346" s="14"/>
      <c r="S346" s="14"/>
    </row>
    <row r="347" spans="2:19" ht="14.25" customHeight="1" x14ac:dyDescent="0.3">
      <c r="B347" s="5"/>
      <c r="Q347" s="13"/>
      <c r="R347" s="14"/>
      <c r="S347" s="14"/>
    </row>
    <row r="348" spans="2:19" ht="14.25" customHeight="1" x14ac:dyDescent="0.3">
      <c r="B348" s="5"/>
      <c r="Q348" s="13"/>
      <c r="R348" s="14"/>
      <c r="S348" s="14"/>
    </row>
    <row r="349" spans="2:19" ht="14.25" customHeight="1" x14ac:dyDescent="0.3">
      <c r="B349" s="5"/>
      <c r="Q349" s="13"/>
      <c r="R349" s="14"/>
      <c r="S349" s="14"/>
    </row>
    <row r="350" spans="2:19" ht="14.25" customHeight="1" x14ac:dyDescent="0.3">
      <c r="B350" s="5"/>
      <c r="Q350" s="13"/>
      <c r="R350" s="14"/>
      <c r="S350" s="14"/>
    </row>
    <row r="351" spans="2:19" ht="14.25" customHeight="1" x14ac:dyDescent="0.3">
      <c r="B351" s="5"/>
      <c r="Q351" s="13"/>
      <c r="R351" s="14"/>
      <c r="S351" s="14"/>
    </row>
    <row r="352" spans="2:19" ht="14.25" customHeight="1" x14ac:dyDescent="0.3">
      <c r="B352" s="5"/>
      <c r="Q352" s="13"/>
      <c r="R352" s="14"/>
      <c r="S352" s="14"/>
    </row>
    <row r="353" spans="2:19" ht="14.25" customHeight="1" x14ac:dyDescent="0.3">
      <c r="B353" s="5"/>
      <c r="Q353" s="13"/>
      <c r="R353" s="14"/>
      <c r="S353" s="14"/>
    </row>
    <row r="354" spans="2:19" ht="14.25" customHeight="1" x14ac:dyDescent="0.3">
      <c r="B354" s="5"/>
      <c r="Q354" s="13"/>
      <c r="R354" s="14"/>
      <c r="S354" s="14"/>
    </row>
    <row r="355" spans="2:19" ht="14.25" customHeight="1" x14ac:dyDescent="0.3">
      <c r="B355" s="5"/>
      <c r="Q355" s="13"/>
      <c r="R355" s="14"/>
      <c r="S355" s="14"/>
    </row>
    <row r="356" spans="2:19" ht="14.25" customHeight="1" x14ac:dyDescent="0.3">
      <c r="B356" s="5"/>
      <c r="Q356" s="13"/>
      <c r="R356" s="14"/>
      <c r="S356" s="14"/>
    </row>
    <row r="357" spans="2:19" ht="14.25" customHeight="1" x14ac:dyDescent="0.3">
      <c r="B357" s="5"/>
      <c r="Q357" s="13"/>
      <c r="R357" s="14"/>
      <c r="S357" s="14"/>
    </row>
    <row r="358" spans="2:19" ht="14.25" customHeight="1" x14ac:dyDescent="0.3">
      <c r="B358" s="5"/>
      <c r="Q358" s="13"/>
      <c r="R358" s="14"/>
      <c r="S358" s="14"/>
    </row>
    <row r="359" spans="2:19" ht="14.25" customHeight="1" x14ac:dyDescent="0.3">
      <c r="B359" s="5"/>
      <c r="Q359" s="13"/>
      <c r="R359" s="14"/>
      <c r="S359" s="14"/>
    </row>
    <row r="360" spans="2:19" ht="14.25" customHeight="1" x14ac:dyDescent="0.3">
      <c r="B360" s="5"/>
      <c r="Q360" s="13"/>
      <c r="R360" s="14"/>
      <c r="S360" s="14"/>
    </row>
    <row r="361" spans="2:19" ht="14.25" customHeight="1" x14ac:dyDescent="0.3">
      <c r="B361" s="5"/>
      <c r="Q361" s="13"/>
      <c r="R361" s="14"/>
      <c r="S361" s="14"/>
    </row>
    <row r="362" spans="2:19" ht="14.25" customHeight="1" x14ac:dyDescent="0.3">
      <c r="B362" s="5"/>
      <c r="Q362" s="13"/>
      <c r="R362" s="14"/>
      <c r="S362" s="14"/>
    </row>
    <row r="363" spans="2:19" ht="14.25" customHeight="1" x14ac:dyDescent="0.3">
      <c r="B363" s="5"/>
      <c r="Q363" s="13"/>
      <c r="R363" s="14"/>
      <c r="S363" s="14"/>
    </row>
    <row r="364" spans="2:19" ht="14.25" customHeight="1" x14ac:dyDescent="0.3">
      <c r="B364" s="5"/>
      <c r="Q364" s="13"/>
      <c r="R364" s="14"/>
      <c r="S364" s="14"/>
    </row>
    <row r="365" spans="2:19" ht="14.25" customHeight="1" x14ac:dyDescent="0.3">
      <c r="B365" s="5"/>
      <c r="Q365" s="13"/>
      <c r="R365" s="14"/>
      <c r="S365" s="14"/>
    </row>
    <row r="366" spans="2:19" ht="14.25" customHeight="1" x14ac:dyDescent="0.3">
      <c r="B366" s="5"/>
      <c r="Q366" s="13"/>
      <c r="R366" s="14"/>
      <c r="S366" s="14"/>
    </row>
    <row r="367" spans="2:19" ht="14.25" customHeight="1" x14ac:dyDescent="0.3">
      <c r="B367" s="5"/>
      <c r="Q367" s="13"/>
      <c r="R367" s="14"/>
      <c r="S367" s="14"/>
    </row>
    <row r="368" spans="2:19" ht="14.25" customHeight="1" x14ac:dyDescent="0.3">
      <c r="B368" s="5"/>
      <c r="Q368" s="13"/>
      <c r="R368" s="14"/>
      <c r="S368" s="14"/>
    </row>
    <row r="369" spans="2:19" ht="14.25" customHeight="1" x14ac:dyDescent="0.3">
      <c r="B369" s="5"/>
      <c r="Q369" s="13"/>
      <c r="R369" s="14"/>
      <c r="S369" s="14"/>
    </row>
    <row r="370" spans="2:19" ht="14.25" customHeight="1" x14ac:dyDescent="0.3">
      <c r="B370" s="5"/>
      <c r="Q370" s="13"/>
      <c r="R370" s="14"/>
      <c r="S370" s="14"/>
    </row>
    <row r="371" spans="2:19" ht="14.25" customHeight="1" x14ac:dyDescent="0.3">
      <c r="B371" s="5"/>
      <c r="Q371" s="13"/>
      <c r="R371" s="14"/>
      <c r="S371" s="14"/>
    </row>
    <row r="372" spans="2:19" ht="14.25" customHeight="1" x14ac:dyDescent="0.3">
      <c r="B372" s="5"/>
      <c r="Q372" s="13"/>
      <c r="R372" s="14"/>
      <c r="S372" s="14"/>
    </row>
    <row r="373" spans="2:19" ht="14.25" customHeight="1" x14ac:dyDescent="0.3">
      <c r="B373" s="5"/>
      <c r="Q373" s="13"/>
      <c r="R373" s="14"/>
      <c r="S373" s="14"/>
    </row>
    <row r="374" spans="2:19" ht="14.25" customHeight="1" x14ac:dyDescent="0.3">
      <c r="B374" s="5"/>
      <c r="Q374" s="13"/>
      <c r="R374" s="14"/>
      <c r="S374" s="14"/>
    </row>
    <row r="375" spans="2:19" ht="14.25" customHeight="1" x14ac:dyDescent="0.3">
      <c r="B375" s="5"/>
      <c r="Q375" s="13"/>
      <c r="R375" s="14"/>
      <c r="S375" s="14"/>
    </row>
    <row r="376" spans="2:19" ht="14.25" customHeight="1" x14ac:dyDescent="0.3">
      <c r="B376" s="5"/>
      <c r="Q376" s="13"/>
      <c r="R376" s="14"/>
      <c r="S376" s="14"/>
    </row>
    <row r="377" spans="2:19" ht="14.25" customHeight="1" x14ac:dyDescent="0.3">
      <c r="B377" s="5"/>
      <c r="Q377" s="13"/>
      <c r="R377" s="14"/>
      <c r="S377" s="14"/>
    </row>
    <row r="378" spans="2:19" ht="14.25" customHeight="1" x14ac:dyDescent="0.3">
      <c r="B378" s="5"/>
      <c r="Q378" s="13"/>
      <c r="R378" s="14"/>
      <c r="S378" s="14"/>
    </row>
    <row r="379" spans="2:19" ht="14.25" customHeight="1" x14ac:dyDescent="0.3">
      <c r="B379" s="5"/>
      <c r="Q379" s="13"/>
      <c r="R379" s="14"/>
      <c r="S379" s="14"/>
    </row>
    <row r="380" spans="2:19" ht="14.25" customHeight="1" x14ac:dyDescent="0.3">
      <c r="B380" s="5"/>
      <c r="Q380" s="13"/>
      <c r="R380" s="14"/>
      <c r="S380" s="14"/>
    </row>
    <row r="381" spans="2:19" ht="14.25" customHeight="1" x14ac:dyDescent="0.3">
      <c r="B381" s="5"/>
      <c r="Q381" s="13"/>
      <c r="R381" s="14"/>
      <c r="S381" s="14"/>
    </row>
    <row r="382" spans="2:19" ht="14.25" customHeight="1" x14ac:dyDescent="0.3">
      <c r="B382" s="5"/>
      <c r="Q382" s="13"/>
      <c r="R382" s="14"/>
      <c r="S382" s="14"/>
    </row>
    <row r="383" spans="2:19" ht="14.25" customHeight="1" x14ac:dyDescent="0.3">
      <c r="B383" s="5"/>
      <c r="Q383" s="13"/>
      <c r="R383" s="14"/>
      <c r="S383" s="14"/>
    </row>
    <row r="384" spans="2:19" ht="14.25" customHeight="1" x14ac:dyDescent="0.3">
      <c r="B384" s="5"/>
      <c r="Q384" s="13"/>
      <c r="R384" s="14"/>
      <c r="S384" s="14"/>
    </row>
    <row r="385" spans="2:19" ht="14.25" customHeight="1" x14ac:dyDescent="0.3">
      <c r="B385" s="5"/>
      <c r="Q385" s="13"/>
      <c r="R385" s="14"/>
      <c r="S385" s="14"/>
    </row>
    <row r="386" spans="2:19" ht="14.25" customHeight="1" x14ac:dyDescent="0.3">
      <c r="B386" s="5"/>
      <c r="Q386" s="13"/>
      <c r="R386" s="14"/>
      <c r="S386" s="14"/>
    </row>
    <row r="387" spans="2:19" ht="14.25" customHeight="1" x14ac:dyDescent="0.3">
      <c r="B387" s="5"/>
      <c r="Q387" s="13"/>
      <c r="R387" s="14"/>
      <c r="S387" s="14"/>
    </row>
    <row r="388" spans="2:19" ht="14.25" customHeight="1" x14ac:dyDescent="0.3">
      <c r="B388" s="5"/>
      <c r="Q388" s="13"/>
      <c r="R388" s="14"/>
      <c r="S388" s="14"/>
    </row>
    <row r="389" spans="2:19" ht="14.25" customHeight="1" x14ac:dyDescent="0.3">
      <c r="B389" s="5"/>
      <c r="Q389" s="13"/>
      <c r="R389" s="14"/>
      <c r="S389" s="14"/>
    </row>
    <row r="390" spans="2:19" ht="14.25" customHeight="1" x14ac:dyDescent="0.3">
      <c r="B390" s="5"/>
      <c r="Q390" s="13"/>
      <c r="R390" s="14"/>
      <c r="S390" s="14"/>
    </row>
    <row r="391" spans="2:19" ht="14.25" customHeight="1" x14ac:dyDescent="0.3">
      <c r="B391" s="5"/>
      <c r="Q391" s="13"/>
      <c r="R391" s="14"/>
      <c r="S391" s="14"/>
    </row>
    <row r="392" spans="2:19" ht="14.25" customHeight="1" x14ac:dyDescent="0.3">
      <c r="B392" s="5"/>
      <c r="Q392" s="13"/>
      <c r="R392" s="14"/>
      <c r="S392" s="14"/>
    </row>
    <row r="393" spans="2:19" ht="14.25" customHeight="1" x14ac:dyDescent="0.3">
      <c r="B393" s="5"/>
      <c r="Q393" s="13"/>
      <c r="R393" s="14"/>
      <c r="S393" s="14"/>
    </row>
    <row r="394" spans="2:19" ht="14.25" customHeight="1" x14ac:dyDescent="0.3">
      <c r="B394" s="5"/>
      <c r="Q394" s="13"/>
      <c r="R394" s="14"/>
      <c r="S394" s="14"/>
    </row>
    <row r="395" spans="2:19" ht="14.25" customHeight="1" x14ac:dyDescent="0.3">
      <c r="B395" s="5"/>
      <c r="Q395" s="13"/>
      <c r="R395" s="14"/>
      <c r="S395" s="14"/>
    </row>
    <row r="396" spans="2:19" ht="14.25" customHeight="1" x14ac:dyDescent="0.3">
      <c r="B396" s="5"/>
      <c r="Q396" s="13"/>
      <c r="R396" s="14"/>
      <c r="S396" s="14"/>
    </row>
    <row r="397" spans="2:19" ht="14.25" customHeight="1" x14ac:dyDescent="0.3">
      <c r="B397" s="5"/>
      <c r="Q397" s="13"/>
      <c r="R397" s="14"/>
      <c r="S397" s="14"/>
    </row>
    <row r="398" spans="2:19" ht="14.25" customHeight="1" x14ac:dyDescent="0.3">
      <c r="B398" s="5"/>
      <c r="Q398" s="13"/>
      <c r="R398" s="14"/>
      <c r="S398" s="14"/>
    </row>
    <row r="399" spans="2:19" ht="14.25" customHeight="1" x14ac:dyDescent="0.3">
      <c r="B399" s="5"/>
      <c r="Q399" s="13"/>
      <c r="R399" s="14"/>
      <c r="S399" s="14"/>
    </row>
    <row r="400" spans="2:19" ht="14.25" customHeight="1" x14ac:dyDescent="0.3">
      <c r="B400" s="5"/>
      <c r="Q400" s="13"/>
      <c r="R400" s="14"/>
      <c r="S400" s="14"/>
    </row>
    <row r="401" spans="2:19" ht="14.25" customHeight="1" x14ac:dyDescent="0.3">
      <c r="B401" s="5"/>
      <c r="Q401" s="13"/>
      <c r="R401" s="14"/>
      <c r="S401" s="14"/>
    </row>
    <row r="402" spans="2:19" ht="14.25" customHeight="1" x14ac:dyDescent="0.3">
      <c r="B402" s="5"/>
      <c r="Q402" s="13"/>
      <c r="R402" s="14"/>
      <c r="S402" s="14"/>
    </row>
    <row r="403" spans="2:19" ht="14.25" customHeight="1" x14ac:dyDescent="0.3">
      <c r="B403" s="5"/>
      <c r="Q403" s="13"/>
      <c r="R403" s="14"/>
      <c r="S403" s="14"/>
    </row>
    <row r="404" spans="2:19" ht="14.25" customHeight="1" x14ac:dyDescent="0.3">
      <c r="B404" s="5"/>
      <c r="Q404" s="13"/>
      <c r="R404" s="14"/>
      <c r="S404" s="14"/>
    </row>
    <row r="405" spans="2:19" ht="14.25" customHeight="1" x14ac:dyDescent="0.3">
      <c r="B405" s="5"/>
      <c r="Q405" s="13"/>
      <c r="R405" s="14"/>
      <c r="S405" s="14"/>
    </row>
    <row r="406" spans="2:19" ht="14.25" customHeight="1" x14ac:dyDescent="0.3">
      <c r="B406" s="5"/>
      <c r="Q406" s="13"/>
      <c r="R406" s="14"/>
      <c r="S406" s="14"/>
    </row>
    <row r="407" spans="2:19" ht="14.25" customHeight="1" x14ac:dyDescent="0.3">
      <c r="B407" s="5"/>
      <c r="Q407" s="13"/>
      <c r="R407" s="14"/>
      <c r="S407" s="14"/>
    </row>
    <row r="408" spans="2:19" ht="14.25" customHeight="1" x14ac:dyDescent="0.3">
      <c r="B408" s="5"/>
      <c r="Q408" s="13"/>
      <c r="R408" s="14"/>
      <c r="S408" s="14"/>
    </row>
    <row r="409" spans="2:19" ht="14.25" customHeight="1" x14ac:dyDescent="0.3">
      <c r="B409" s="5"/>
      <c r="Q409" s="13"/>
      <c r="R409" s="14"/>
      <c r="S409" s="14"/>
    </row>
    <row r="410" spans="2:19" ht="14.25" customHeight="1" x14ac:dyDescent="0.3">
      <c r="B410" s="5"/>
      <c r="Q410" s="13"/>
      <c r="R410" s="14"/>
      <c r="S410" s="14"/>
    </row>
    <row r="411" spans="2:19" ht="14.25" customHeight="1" x14ac:dyDescent="0.3">
      <c r="B411" s="5"/>
      <c r="Q411" s="13"/>
      <c r="R411" s="14"/>
      <c r="S411" s="14"/>
    </row>
    <row r="412" spans="2:19" ht="14.25" customHeight="1" x14ac:dyDescent="0.3">
      <c r="B412" s="5"/>
      <c r="Q412" s="13"/>
      <c r="R412" s="14"/>
      <c r="S412" s="14"/>
    </row>
    <row r="413" spans="2:19" ht="14.25" customHeight="1" x14ac:dyDescent="0.3">
      <c r="B413" s="5"/>
      <c r="Q413" s="13"/>
      <c r="R413" s="14"/>
      <c r="S413" s="14"/>
    </row>
    <row r="414" spans="2:19" ht="14.25" customHeight="1" x14ac:dyDescent="0.3">
      <c r="B414" s="5"/>
      <c r="Q414" s="13"/>
      <c r="R414" s="14"/>
      <c r="S414" s="14"/>
    </row>
    <row r="415" spans="2:19" ht="14.25" customHeight="1" x14ac:dyDescent="0.3">
      <c r="B415" s="5"/>
      <c r="Q415" s="13"/>
      <c r="R415" s="14"/>
      <c r="S415" s="14"/>
    </row>
    <row r="416" spans="2:19" ht="14.25" customHeight="1" x14ac:dyDescent="0.3">
      <c r="B416" s="5"/>
      <c r="Q416" s="13"/>
      <c r="R416" s="14"/>
      <c r="S416" s="14"/>
    </row>
    <row r="417" spans="2:19" ht="14.25" customHeight="1" x14ac:dyDescent="0.3">
      <c r="B417" s="5"/>
      <c r="Q417" s="13"/>
      <c r="R417" s="14"/>
      <c r="S417" s="14"/>
    </row>
    <row r="418" spans="2:19" ht="14.25" customHeight="1" x14ac:dyDescent="0.3">
      <c r="B418" s="5"/>
      <c r="Q418" s="13"/>
      <c r="R418" s="14"/>
      <c r="S418" s="14"/>
    </row>
    <row r="419" spans="2:19" ht="14.25" customHeight="1" x14ac:dyDescent="0.3">
      <c r="B419" s="5"/>
      <c r="Q419" s="13"/>
      <c r="R419" s="14"/>
      <c r="S419" s="14"/>
    </row>
    <row r="420" spans="2:19" ht="14.25" customHeight="1" x14ac:dyDescent="0.3">
      <c r="B420" s="5"/>
      <c r="Q420" s="13"/>
      <c r="R420" s="14"/>
      <c r="S420" s="14"/>
    </row>
    <row r="421" spans="2:19" ht="14.25" customHeight="1" x14ac:dyDescent="0.3">
      <c r="B421" s="5"/>
      <c r="Q421" s="13"/>
      <c r="R421" s="14"/>
      <c r="S421" s="14"/>
    </row>
    <row r="422" spans="2:19" ht="14.25" customHeight="1" x14ac:dyDescent="0.3">
      <c r="B422" s="5"/>
      <c r="Q422" s="13"/>
      <c r="R422" s="14"/>
      <c r="S422" s="14"/>
    </row>
    <row r="423" spans="2:19" ht="14.25" customHeight="1" x14ac:dyDescent="0.3">
      <c r="B423" s="5"/>
      <c r="Q423" s="13"/>
      <c r="R423" s="14"/>
      <c r="S423" s="14"/>
    </row>
    <row r="424" spans="2:19" ht="14.25" customHeight="1" x14ac:dyDescent="0.3">
      <c r="B424" s="5"/>
      <c r="Q424" s="13"/>
      <c r="R424" s="14"/>
      <c r="S424" s="14"/>
    </row>
    <row r="425" spans="2:19" ht="14.25" customHeight="1" x14ac:dyDescent="0.3">
      <c r="B425" s="5"/>
      <c r="Q425" s="13"/>
      <c r="R425" s="14"/>
      <c r="S425" s="14"/>
    </row>
    <row r="426" spans="2:19" ht="14.25" customHeight="1" x14ac:dyDescent="0.3">
      <c r="B426" s="5"/>
      <c r="Q426" s="13"/>
      <c r="R426" s="14"/>
      <c r="S426" s="14"/>
    </row>
    <row r="427" spans="2:19" ht="14.25" customHeight="1" x14ac:dyDescent="0.3">
      <c r="B427" s="5"/>
      <c r="Q427" s="13"/>
      <c r="R427" s="14"/>
      <c r="S427" s="14"/>
    </row>
    <row r="428" spans="2:19" ht="14.25" customHeight="1" x14ac:dyDescent="0.3">
      <c r="B428" s="5"/>
      <c r="Q428" s="13"/>
      <c r="R428" s="14"/>
      <c r="S428" s="14"/>
    </row>
    <row r="429" spans="2:19" ht="14.25" customHeight="1" x14ac:dyDescent="0.3">
      <c r="B429" s="5"/>
      <c r="Q429" s="13"/>
      <c r="R429" s="14"/>
      <c r="S429" s="14"/>
    </row>
    <row r="430" spans="2:19" ht="14.25" customHeight="1" x14ac:dyDescent="0.3">
      <c r="B430" s="5"/>
      <c r="Q430" s="13"/>
      <c r="R430" s="14"/>
      <c r="S430" s="14"/>
    </row>
    <row r="431" spans="2:19" ht="14.25" customHeight="1" x14ac:dyDescent="0.3">
      <c r="B431" s="5"/>
      <c r="Q431" s="13"/>
      <c r="R431" s="14"/>
      <c r="S431" s="14"/>
    </row>
    <row r="432" spans="2:19" ht="14.25" customHeight="1" x14ac:dyDescent="0.3">
      <c r="B432" s="5"/>
      <c r="Q432" s="13"/>
      <c r="R432" s="14"/>
      <c r="S432" s="14"/>
    </row>
    <row r="433" spans="2:19" ht="14.25" customHeight="1" x14ac:dyDescent="0.3">
      <c r="B433" s="5"/>
      <c r="Q433" s="13"/>
      <c r="R433" s="14"/>
      <c r="S433" s="14"/>
    </row>
    <row r="434" spans="2:19" ht="14.25" customHeight="1" x14ac:dyDescent="0.3">
      <c r="B434" s="5"/>
      <c r="Q434" s="13"/>
      <c r="R434" s="14"/>
      <c r="S434" s="14"/>
    </row>
    <row r="435" spans="2:19" ht="14.25" customHeight="1" x14ac:dyDescent="0.3">
      <c r="B435" s="5"/>
      <c r="Q435" s="13"/>
      <c r="R435" s="14"/>
      <c r="S435" s="14"/>
    </row>
    <row r="436" spans="2:19" ht="14.25" customHeight="1" x14ac:dyDescent="0.3">
      <c r="B436" s="5"/>
      <c r="Q436" s="13"/>
      <c r="R436" s="14"/>
      <c r="S436" s="14"/>
    </row>
    <row r="437" spans="2:19" ht="14.25" customHeight="1" x14ac:dyDescent="0.3">
      <c r="B437" s="5"/>
      <c r="Q437" s="13"/>
      <c r="R437" s="14"/>
      <c r="S437" s="14"/>
    </row>
    <row r="438" spans="2:19" ht="14.25" customHeight="1" x14ac:dyDescent="0.3">
      <c r="B438" s="5"/>
      <c r="Q438" s="13"/>
      <c r="R438" s="14"/>
      <c r="S438" s="14"/>
    </row>
    <row r="439" spans="2:19" ht="14.25" customHeight="1" x14ac:dyDescent="0.3">
      <c r="B439" s="5"/>
      <c r="Q439" s="13"/>
      <c r="R439" s="14"/>
      <c r="S439" s="14"/>
    </row>
    <row r="440" spans="2:19" ht="14.25" customHeight="1" x14ac:dyDescent="0.3">
      <c r="B440" s="5"/>
      <c r="Q440" s="13"/>
      <c r="R440" s="14"/>
      <c r="S440" s="14"/>
    </row>
    <row r="441" spans="2:19" ht="14.25" customHeight="1" x14ac:dyDescent="0.3">
      <c r="B441" s="5"/>
      <c r="Q441" s="13"/>
      <c r="R441" s="14"/>
      <c r="S441" s="14"/>
    </row>
    <row r="442" spans="2:19" ht="14.25" customHeight="1" x14ac:dyDescent="0.3">
      <c r="B442" s="5"/>
      <c r="Q442" s="13"/>
      <c r="R442" s="14"/>
      <c r="S442" s="14"/>
    </row>
    <row r="443" spans="2:19" ht="14.25" customHeight="1" x14ac:dyDescent="0.3">
      <c r="B443" s="5"/>
      <c r="Q443" s="13"/>
      <c r="R443" s="14"/>
      <c r="S443" s="14"/>
    </row>
    <row r="444" spans="2:19" ht="14.25" customHeight="1" x14ac:dyDescent="0.3">
      <c r="B444" s="5"/>
      <c r="Q444" s="13"/>
      <c r="R444" s="14"/>
      <c r="S444" s="14"/>
    </row>
    <row r="445" spans="2:19" ht="14.25" customHeight="1" x14ac:dyDescent="0.3">
      <c r="B445" s="5"/>
      <c r="Q445" s="13"/>
      <c r="R445" s="14"/>
      <c r="S445" s="14"/>
    </row>
    <row r="446" spans="2:19" ht="14.25" customHeight="1" x14ac:dyDescent="0.3">
      <c r="B446" s="5"/>
      <c r="Q446" s="13"/>
      <c r="R446" s="14"/>
      <c r="S446" s="14"/>
    </row>
    <row r="447" spans="2:19" ht="14.25" customHeight="1" x14ac:dyDescent="0.3">
      <c r="B447" s="5"/>
      <c r="Q447" s="13"/>
      <c r="R447" s="14"/>
      <c r="S447" s="14"/>
    </row>
    <row r="448" spans="2:19" ht="14.25" customHeight="1" x14ac:dyDescent="0.3">
      <c r="B448" s="5"/>
      <c r="Q448" s="13"/>
      <c r="R448" s="14"/>
      <c r="S448" s="14"/>
    </row>
    <row r="449" spans="2:19" ht="14.25" customHeight="1" x14ac:dyDescent="0.3">
      <c r="B449" s="5"/>
      <c r="Q449" s="13"/>
      <c r="R449" s="14"/>
      <c r="S449" s="14"/>
    </row>
    <row r="450" spans="2:19" ht="14.25" customHeight="1" x14ac:dyDescent="0.3">
      <c r="B450" s="5"/>
      <c r="Q450" s="13"/>
      <c r="R450" s="14"/>
      <c r="S450" s="14"/>
    </row>
    <row r="451" spans="2:19" ht="14.25" customHeight="1" x14ac:dyDescent="0.3">
      <c r="B451" s="5"/>
      <c r="Q451" s="13"/>
      <c r="R451" s="14"/>
      <c r="S451" s="14"/>
    </row>
    <row r="452" spans="2:19" ht="14.25" customHeight="1" x14ac:dyDescent="0.3">
      <c r="B452" s="5"/>
      <c r="Q452" s="13"/>
      <c r="R452" s="14"/>
      <c r="S452" s="14"/>
    </row>
    <row r="453" spans="2:19" ht="14.25" customHeight="1" x14ac:dyDescent="0.3">
      <c r="B453" s="5"/>
      <c r="Q453" s="13"/>
      <c r="R453" s="14"/>
      <c r="S453" s="14"/>
    </row>
    <row r="454" spans="2:19" ht="14.25" customHeight="1" x14ac:dyDescent="0.3">
      <c r="B454" s="5"/>
      <c r="Q454" s="13"/>
      <c r="R454" s="14"/>
      <c r="S454" s="14"/>
    </row>
    <row r="455" spans="2:19" ht="14.25" customHeight="1" x14ac:dyDescent="0.3">
      <c r="B455" s="5"/>
      <c r="Q455" s="13"/>
      <c r="R455" s="14"/>
      <c r="S455" s="14"/>
    </row>
    <row r="456" spans="2:19" ht="14.25" customHeight="1" x14ac:dyDescent="0.3">
      <c r="B456" s="5"/>
      <c r="Q456" s="13"/>
      <c r="R456" s="14"/>
      <c r="S456" s="14"/>
    </row>
    <row r="457" spans="2:19" ht="14.25" customHeight="1" x14ac:dyDescent="0.3">
      <c r="B457" s="5"/>
      <c r="Q457" s="13"/>
      <c r="R457" s="14"/>
      <c r="S457" s="14"/>
    </row>
    <row r="458" spans="2:19" ht="14.25" customHeight="1" x14ac:dyDescent="0.3">
      <c r="B458" s="5"/>
      <c r="Q458" s="13"/>
      <c r="R458" s="14"/>
      <c r="S458" s="14"/>
    </row>
    <row r="459" spans="2:19" ht="14.25" customHeight="1" x14ac:dyDescent="0.3">
      <c r="B459" s="5"/>
      <c r="Q459" s="13"/>
      <c r="R459" s="14"/>
      <c r="S459" s="14"/>
    </row>
    <row r="460" spans="2:19" ht="14.25" customHeight="1" x14ac:dyDescent="0.3">
      <c r="B460" s="5"/>
      <c r="Q460" s="13"/>
      <c r="R460" s="14"/>
      <c r="S460" s="14"/>
    </row>
    <row r="461" spans="2:19" ht="14.25" customHeight="1" x14ac:dyDescent="0.3">
      <c r="B461" s="5"/>
      <c r="Q461" s="13"/>
      <c r="R461" s="14"/>
      <c r="S461" s="14"/>
    </row>
    <row r="462" spans="2:19" ht="14.25" customHeight="1" x14ac:dyDescent="0.3">
      <c r="B462" s="5"/>
      <c r="Q462" s="13"/>
      <c r="R462" s="14"/>
      <c r="S462" s="14"/>
    </row>
    <row r="463" spans="2:19" ht="14.25" customHeight="1" x14ac:dyDescent="0.3">
      <c r="B463" s="5"/>
      <c r="Q463" s="13"/>
      <c r="R463" s="14"/>
      <c r="S463" s="14"/>
    </row>
    <row r="464" spans="2:19" ht="14.25" customHeight="1" x14ac:dyDescent="0.3">
      <c r="B464" s="5"/>
      <c r="Q464" s="13"/>
      <c r="R464" s="14"/>
      <c r="S464" s="14"/>
    </row>
    <row r="465" spans="2:19" ht="14.25" customHeight="1" x14ac:dyDescent="0.3">
      <c r="B465" s="5"/>
      <c r="Q465" s="13"/>
      <c r="R465" s="14"/>
      <c r="S465" s="14"/>
    </row>
    <row r="466" spans="2:19" ht="14.25" customHeight="1" x14ac:dyDescent="0.3">
      <c r="B466" s="5"/>
      <c r="Q466" s="13"/>
      <c r="R466" s="14"/>
      <c r="S466" s="14"/>
    </row>
    <row r="467" spans="2:19" ht="14.25" customHeight="1" x14ac:dyDescent="0.3">
      <c r="B467" s="5"/>
      <c r="Q467" s="13"/>
      <c r="R467" s="14"/>
      <c r="S467" s="14"/>
    </row>
    <row r="468" spans="2:19" ht="14.25" customHeight="1" x14ac:dyDescent="0.3">
      <c r="B468" s="5"/>
      <c r="Q468" s="13"/>
      <c r="R468" s="14"/>
      <c r="S468" s="14"/>
    </row>
    <row r="469" spans="2:19" ht="14.25" customHeight="1" x14ac:dyDescent="0.3">
      <c r="B469" s="5"/>
      <c r="Q469" s="13"/>
      <c r="R469" s="14"/>
      <c r="S469" s="14"/>
    </row>
    <row r="470" spans="2:19" ht="14.25" customHeight="1" x14ac:dyDescent="0.3">
      <c r="B470" s="5"/>
      <c r="Q470" s="13"/>
      <c r="R470" s="14"/>
      <c r="S470" s="14"/>
    </row>
    <row r="471" spans="2:19" ht="14.25" customHeight="1" x14ac:dyDescent="0.3">
      <c r="B471" s="5"/>
      <c r="Q471" s="13"/>
      <c r="R471" s="14"/>
      <c r="S471" s="14"/>
    </row>
    <row r="472" spans="2:19" ht="14.25" customHeight="1" x14ac:dyDescent="0.3">
      <c r="B472" s="5"/>
      <c r="Q472" s="13"/>
      <c r="R472" s="14"/>
      <c r="S472" s="14"/>
    </row>
    <row r="473" spans="2:19" ht="14.25" customHeight="1" x14ac:dyDescent="0.3">
      <c r="B473" s="5"/>
      <c r="Q473" s="13"/>
      <c r="R473" s="14"/>
      <c r="S473" s="14"/>
    </row>
    <row r="474" spans="2:19" ht="14.25" customHeight="1" x14ac:dyDescent="0.3">
      <c r="B474" s="5"/>
      <c r="Q474" s="13"/>
      <c r="R474" s="14"/>
      <c r="S474" s="14"/>
    </row>
    <row r="475" spans="2:19" ht="14.25" customHeight="1" x14ac:dyDescent="0.3">
      <c r="B475" s="5"/>
      <c r="Q475" s="13"/>
      <c r="R475" s="14"/>
      <c r="S475" s="14"/>
    </row>
    <row r="476" spans="2:19" ht="14.25" customHeight="1" x14ac:dyDescent="0.3">
      <c r="B476" s="5"/>
      <c r="Q476" s="13"/>
      <c r="R476" s="14"/>
      <c r="S476" s="14"/>
    </row>
    <row r="477" spans="2:19" ht="14.25" customHeight="1" x14ac:dyDescent="0.3">
      <c r="B477" s="5"/>
      <c r="Q477" s="13"/>
      <c r="R477" s="14"/>
      <c r="S477" s="14"/>
    </row>
    <row r="478" spans="2:19" ht="14.25" customHeight="1" x14ac:dyDescent="0.3">
      <c r="B478" s="5"/>
      <c r="Q478" s="13"/>
      <c r="R478" s="14"/>
      <c r="S478" s="14"/>
    </row>
    <row r="479" spans="2:19" ht="14.25" customHeight="1" x14ac:dyDescent="0.3">
      <c r="B479" s="5"/>
      <c r="Q479" s="13"/>
      <c r="R479" s="14"/>
      <c r="S479" s="14"/>
    </row>
    <row r="480" spans="2:19" ht="14.25" customHeight="1" x14ac:dyDescent="0.3">
      <c r="B480" s="5"/>
      <c r="Q480" s="13"/>
      <c r="R480" s="14"/>
      <c r="S480" s="14"/>
    </row>
    <row r="481" spans="2:19" ht="14.25" customHeight="1" x14ac:dyDescent="0.3">
      <c r="B481" s="5"/>
      <c r="Q481" s="13"/>
      <c r="R481" s="14"/>
      <c r="S481" s="14"/>
    </row>
    <row r="482" spans="2:19" ht="14.25" customHeight="1" x14ac:dyDescent="0.3">
      <c r="B482" s="5"/>
      <c r="Q482" s="13"/>
      <c r="R482" s="14"/>
      <c r="S482" s="14"/>
    </row>
    <row r="483" spans="2:19" ht="14.25" customHeight="1" x14ac:dyDescent="0.3">
      <c r="B483" s="5"/>
      <c r="Q483" s="13"/>
      <c r="R483" s="14"/>
      <c r="S483" s="14"/>
    </row>
    <row r="484" spans="2:19" ht="14.25" customHeight="1" x14ac:dyDescent="0.3">
      <c r="B484" s="5"/>
      <c r="Q484" s="13"/>
      <c r="R484" s="14"/>
      <c r="S484" s="14"/>
    </row>
    <row r="485" spans="2:19" ht="14.25" customHeight="1" x14ac:dyDescent="0.3">
      <c r="B485" s="5"/>
      <c r="Q485" s="13"/>
      <c r="R485" s="14"/>
      <c r="S485" s="14"/>
    </row>
    <row r="486" spans="2:19" ht="14.25" customHeight="1" x14ac:dyDescent="0.3">
      <c r="B486" s="5"/>
      <c r="Q486" s="13"/>
      <c r="R486" s="14"/>
      <c r="S486" s="14"/>
    </row>
    <row r="487" spans="2:19" ht="14.25" customHeight="1" x14ac:dyDescent="0.3">
      <c r="B487" s="5"/>
      <c r="Q487" s="13"/>
      <c r="R487" s="14"/>
      <c r="S487" s="14"/>
    </row>
    <row r="488" spans="2:19" ht="14.25" customHeight="1" x14ac:dyDescent="0.3">
      <c r="B488" s="5"/>
      <c r="Q488" s="13"/>
      <c r="R488" s="14"/>
      <c r="S488" s="14"/>
    </row>
    <row r="489" spans="2:19" ht="14.25" customHeight="1" x14ac:dyDescent="0.3">
      <c r="B489" s="5"/>
      <c r="Q489" s="13"/>
      <c r="R489" s="14"/>
      <c r="S489" s="14"/>
    </row>
    <row r="490" spans="2:19" ht="14.25" customHeight="1" x14ac:dyDescent="0.3">
      <c r="B490" s="5"/>
      <c r="Q490" s="13"/>
      <c r="R490" s="14"/>
      <c r="S490" s="14"/>
    </row>
    <row r="491" spans="2:19" ht="14.25" customHeight="1" x14ac:dyDescent="0.3">
      <c r="B491" s="5"/>
      <c r="Q491" s="13"/>
      <c r="R491" s="14"/>
      <c r="S491" s="14"/>
    </row>
    <row r="492" spans="2:19" ht="14.25" customHeight="1" x14ac:dyDescent="0.3">
      <c r="B492" s="5"/>
      <c r="Q492" s="13"/>
      <c r="R492" s="14"/>
      <c r="S492" s="14"/>
    </row>
    <row r="493" spans="2:19" ht="14.25" customHeight="1" x14ac:dyDescent="0.3">
      <c r="B493" s="5"/>
      <c r="Q493" s="13"/>
      <c r="R493" s="14"/>
      <c r="S493" s="14"/>
    </row>
    <row r="494" spans="2:19" ht="14.25" customHeight="1" x14ac:dyDescent="0.3">
      <c r="B494" s="5"/>
      <c r="Q494" s="13"/>
      <c r="R494" s="14"/>
      <c r="S494" s="14"/>
    </row>
    <row r="495" spans="2:19" ht="14.25" customHeight="1" x14ac:dyDescent="0.3">
      <c r="B495" s="5"/>
      <c r="Q495" s="13"/>
      <c r="R495" s="14"/>
      <c r="S495" s="14"/>
    </row>
    <row r="496" spans="2:19" ht="14.25" customHeight="1" x14ac:dyDescent="0.3">
      <c r="B496" s="5"/>
      <c r="Q496" s="13"/>
      <c r="R496" s="14"/>
      <c r="S496" s="14"/>
    </row>
    <row r="497" spans="2:19" ht="14.25" customHeight="1" x14ac:dyDescent="0.3">
      <c r="B497" s="5"/>
      <c r="Q497" s="13"/>
      <c r="R497" s="14"/>
      <c r="S497" s="14"/>
    </row>
    <row r="498" spans="2:19" ht="14.25" customHeight="1" x14ac:dyDescent="0.3">
      <c r="B498" s="5"/>
      <c r="Q498" s="13"/>
      <c r="R498" s="14"/>
      <c r="S498" s="14"/>
    </row>
    <row r="499" spans="2:19" ht="14.25" customHeight="1" x14ac:dyDescent="0.3">
      <c r="B499" s="5"/>
      <c r="Q499" s="13"/>
      <c r="R499" s="14"/>
      <c r="S499" s="14"/>
    </row>
    <row r="500" spans="2:19" ht="14.25" customHeight="1" x14ac:dyDescent="0.3">
      <c r="B500" s="5"/>
      <c r="Q500" s="13"/>
      <c r="R500" s="14"/>
      <c r="S500" s="14"/>
    </row>
    <row r="501" spans="2:19" ht="14.25" customHeight="1" x14ac:dyDescent="0.3">
      <c r="B501" s="5"/>
      <c r="Q501" s="13"/>
      <c r="R501" s="14"/>
      <c r="S501" s="14"/>
    </row>
    <row r="502" spans="2:19" ht="14.25" customHeight="1" x14ac:dyDescent="0.3">
      <c r="B502" s="5"/>
      <c r="Q502" s="13"/>
      <c r="R502" s="14"/>
      <c r="S502" s="14"/>
    </row>
    <row r="503" spans="2:19" ht="14.25" customHeight="1" x14ac:dyDescent="0.3">
      <c r="B503" s="5"/>
      <c r="Q503" s="13"/>
      <c r="R503" s="14"/>
      <c r="S503" s="14"/>
    </row>
    <row r="504" spans="2:19" ht="14.25" customHeight="1" x14ac:dyDescent="0.3">
      <c r="B504" s="5"/>
      <c r="Q504" s="13"/>
      <c r="R504" s="14"/>
      <c r="S504" s="14"/>
    </row>
    <row r="505" spans="2:19" ht="14.25" customHeight="1" x14ac:dyDescent="0.3">
      <c r="B505" s="5"/>
      <c r="Q505" s="13"/>
      <c r="R505" s="14"/>
      <c r="S505" s="14"/>
    </row>
    <row r="506" spans="2:19" ht="14.25" customHeight="1" x14ac:dyDescent="0.3">
      <c r="B506" s="5"/>
      <c r="Q506" s="13"/>
      <c r="R506" s="14"/>
      <c r="S506" s="14"/>
    </row>
    <row r="507" spans="2:19" ht="14.25" customHeight="1" x14ac:dyDescent="0.3">
      <c r="B507" s="5"/>
      <c r="Q507" s="13"/>
      <c r="R507" s="14"/>
      <c r="S507" s="14"/>
    </row>
    <row r="508" spans="2:19" ht="14.25" customHeight="1" x14ac:dyDescent="0.3">
      <c r="B508" s="5"/>
      <c r="Q508" s="13"/>
      <c r="R508" s="14"/>
      <c r="S508" s="14"/>
    </row>
    <row r="509" spans="2:19" ht="14.25" customHeight="1" x14ac:dyDescent="0.3">
      <c r="B509" s="5"/>
      <c r="Q509" s="13"/>
      <c r="R509" s="14"/>
      <c r="S509" s="14"/>
    </row>
    <row r="510" spans="2:19" ht="14.25" customHeight="1" x14ac:dyDescent="0.3">
      <c r="B510" s="5"/>
      <c r="Q510" s="13"/>
      <c r="R510" s="14"/>
      <c r="S510" s="14"/>
    </row>
    <row r="511" spans="2:19" ht="14.25" customHeight="1" x14ac:dyDescent="0.3">
      <c r="B511" s="5"/>
      <c r="Q511" s="13"/>
      <c r="R511" s="14"/>
      <c r="S511" s="14"/>
    </row>
    <row r="512" spans="2:19" ht="14.25" customHeight="1" x14ac:dyDescent="0.3">
      <c r="B512" s="5"/>
      <c r="Q512" s="13"/>
      <c r="R512" s="14"/>
      <c r="S512" s="14"/>
    </row>
    <row r="513" spans="2:19" ht="14.25" customHeight="1" x14ac:dyDescent="0.3">
      <c r="B513" s="5"/>
      <c r="Q513" s="13"/>
      <c r="R513" s="14"/>
      <c r="S513" s="14"/>
    </row>
    <row r="514" spans="2:19" ht="14.25" customHeight="1" x14ac:dyDescent="0.3">
      <c r="B514" s="5"/>
      <c r="Q514" s="13"/>
      <c r="R514" s="14"/>
      <c r="S514" s="14"/>
    </row>
    <row r="515" spans="2:19" ht="14.25" customHeight="1" x14ac:dyDescent="0.3">
      <c r="B515" s="5"/>
      <c r="Q515" s="13"/>
      <c r="R515" s="14"/>
      <c r="S515" s="14"/>
    </row>
    <row r="516" spans="2:19" ht="14.25" customHeight="1" x14ac:dyDescent="0.3">
      <c r="B516" s="5"/>
      <c r="Q516" s="13"/>
      <c r="R516" s="14"/>
      <c r="S516" s="14"/>
    </row>
    <row r="517" spans="2:19" ht="14.25" customHeight="1" x14ac:dyDescent="0.3">
      <c r="B517" s="5"/>
      <c r="Q517" s="13"/>
      <c r="R517" s="14"/>
      <c r="S517" s="14"/>
    </row>
    <row r="518" spans="2:19" ht="14.25" customHeight="1" x14ac:dyDescent="0.3">
      <c r="B518" s="5"/>
      <c r="Q518" s="13"/>
      <c r="R518" s="14"/>
      <c r="S518" s="14"/>
    </row>
    <row r="519" spans="2:19" ht="14.25" customHeight="1" x14ac:dyDescent="0.3">
      <c r="B519" s="5"/>
      <c r="Q519" s="13"/>
      <c r="R519" s="14"/>
      <c r="S519" s="14"/>
    </row>
    <row r="520" spans="2:19" ht="14.25" customHeight="1" x14ac:dyDescent="0.3">
      <c r="B520" s="5"/>
      <c r="Q520" s="13"/>
      <c r="R520" s="14"/>
      <c r="S520" s="14"/>
    </row>
    <row r="521" spans="2:19" ht="14.25" customHeight="1" x14ac:dyDescent="0.3">
      <c r="B521" s="5"/>
      <c r="Q521" s="13"/>
      <c r="R521" s="14"/>
      <c r="S521" s="14"/>
    </row>
    <row r="522" spans="2:19" ht="14.25" customHeight="1" x14ac:dyDescent="0.3">
      <c r="B522" s="5"/>
      <c r="Q522" s="13"/>
      <c r="R522" s="14"/>
      <c r="S522" s="14"/>
    </row>
    <row r="523" spans="2:19" ht="14.25" customHeight="1" x14ac:dyDescent="0.3">
      <c r="B523" s="5"/>
      <c r="Q523" s="13"/>
      <c r="R523" s="14"/>
      <c r="S523" s="14"/>
    </row>
    <row r="524" spans="2:19" ht="14.25" customHeight="1" x14ac:dyDescent="0.3">
      <c r="B524" s="5"/>
      <c r="Q524" s="13"/>
      <c r="R524" s="14"/>
      <c r="S524" s="14"/>
    </row>
    <row r="525" spans="2:19" ht="14.25" customHeight="1" x14ac:dyDescent="0.3">
      <c r="B525" s="5"/>
      <c r="Q525" s="13"/>
      <c r="R525" s="14"/>
      <c r="S525" s="14"/>
    </row>
    <row r="526" spans="2:19" ht="14.25" customHeight="1" x14ac:dyDescent="0.3">
      <c r="B526" s="5"/>
      <c r="Q526" s="13"/>
      <c r="R526" s="14"/>
      <c r="S526" s="14"/>
    </row>
    <row r="527" spans="2:19" ht="14.25" customHeight="1" x14ac:dyDescent="0.3">
      <c r="B527" s="5"/>
      <c r="Q527" s="13"/>
      <c r="R527" s="14"/>
      <c r="S527" s="14"/>
    </row>
    <row r="528" spans="2:19" ht="14.25" customHeight="1" x14ac:dyDescent="0.3">
      <c r="B528" s="5"/>
      <c r="Q528" s="13"/>
      <c r="R528" s="14"/>
      <c r="S528" s="14"/>
    </row>
    <row r="529" spans="2:19" ht="14.25" customHeight="1" x14ac:dyDescent="0.3">
      <c r="B529" s="5"/>
      <c r="Q529" s="13"/>
      <c r="R529" s="14"/>
      <c r="S529" s="14"/>
    </row>
    <row r="530" spans="2:19" ht="14.25" customHeight="1" x14ac:dyDescent="0.3">
      <c r="B530" s="5"/>
      <c r="Q530" s="13"/>
      <c r="R530" s="14"/>
      <c r="S530" s="14"/>
    </row>
    <row r="531" spans="2:19" ht="14.25" customHeight="1" x14ac:dyDescent="0.3">
      <c r="B531" s="5"/>
      <c r="Q531" s="13"/>
      <c r="R531" s="14"/>
      <c r="S531" s="14"/>
    </row>
    <row r="532" spans="2:19" ht="14.25" customHeight="1" x14ac:dyDescent="0.3">
      <c r="B532" s="5"/>
      <c r="Q532" s="13"/>
      <c r="R532" s="14"/>
      <c r="S532" s="14"/>
    </row>
    <row r="533" spans="2:19" ht="14.25" customHeight="1" x14ac:dyDescent="0.3">
      <c r="B533" s="5"/>
      <c r="Q533" s="13"/>
      <c r="R533" s="14"/>
      <c r="S533" s="14"/>
    </row>
    <row r="534" spans="2:19" ht="14.25" customHeight="1" x14ac:dyDescent="0.3">
      <c r="B534" s="5"/>
      <c r="Q534" s="13"/>
      <c r="R534" s="14"/>
      <c r="S534" s="14"/>
    </row>
    <row r="535" spans="2:19" ht="14.25" customHeight="1" x14ac:dyDescent="0.3">
      <c r="B535" s="5"/>
      <c r="Q535" s="13"/>
      <c r="R535" s="14"/>
      <c r="S535" s="14"/>
    </row>
    <row r="536" spans="2:19" ht="14.25" customHeight="1" x14ac:dyDescent="0.3">
      <c r="B536" s="5"/>
      <c r="Q536" s="13"/>
      <c r="R536" s="14"/>
      <c r="S536" s="14"/>
    </row>
    <row r="537" spans="2:19" ht="14.25" customHeight="1" x14ac:dyDescent="0.3">
      <c r="B537" s="5"/>
      <c r="Q537" s="13"/>
      <c r="R537" s="14"/>
      <c r="S537" s="14"/>
    </row>
    <row r="538" spans="2:19" ht="14.25" customHeight="1" x14ac:dyDescent="0.3">
      <c r="B538" s="5"/>
      <c r="Q538" s="13"/>
      <c r="R538" s="14"/>
      <c r="S538" s="14"/>
    </row>
    <row r="539" spans="2:19" ht="14.25" customHeight="1" x14ac:dyDescent="0.3">
      <c r="B539" s="5"/>
      <c r="Q539" s="13"/>
      <c r="R539" s="14"/>
      <c r="S539" s="14"/>
    </row>
    <row r="540" spans="2:19" ht="14.25" customHeight="1" x14ac:dyDescent="0.3">
      <c r="B540" s="5"/>
      <c r="Q540" s="13"/>
      <c r="R540" s="14"/>
      <c r="S540" s="14"/>
    </row>
    <row r="541" spans="2:19" ht="14.25" customHeight="1" x14ac:dyDescent="0.3">
      <c r="B541" s="5"/>
      <c r="Q541" s="13"/>
      <c r="R541" s="14"/>
      <c r="S541" s="14"/>
    </row>
    <row r="542" spans="2:19" ht="14.25" customHeight="1" x14ac:dyDescent="0.3">
      <c r="B542" s="5"/>
      <c r="Q542" s="13"/>
      <c r="R542" s="14"/>
      <c r="S542" s="14"/>
    </row>
    <row r="543" spans="2:19" ht="14.25" customHeight="1" x14ac:dyDescent="0.3">
      <c r="B543" s="5"/>
      <c r="Q543" s="13"/>
      <c r="R543" s="14"/>
      <c r="S543" s="14"/>
    </row>
    <row r="544" spans="2:19" ht="14.25" customHeight="1" x14ac:dyDescent="0.3">
      <c r="B544" s="5"/>
      <c r="Q544" s="13"/>
      <c r="R544" s="14"/>
      <c r="S544" s="14"/>
    </row>
    <row r="545" spans="2:19" ht="14.25" customHeight="1" x14ac:dyDescent="0.3">
      <c r="B545" s="5"/>
      <c r="Q545" s="13"/>
      <c r="R545" s="14"/>
      <c r="S545" s="14"/>
    </row>
    <row r="546" spans="2:19" ht="14.25" customHeight="1" x14ac:dyDescent="0.3">
      <c r="B546" s="5"/>
      <c r="Q546" s="13"/>
      <c r="R546" s="14"/>
      <c r="S546" s="14"/>
    </row>
    <row r="547" spans="2:19" ht="14.25" customHeight="1" x14ac:dyDescent="0.3">
      <c r="B547" s="5"/>
      <c r="Q547" s="13"/>
      <c r="R547" s="14"/>
      <c r="S547" s="14"/>
    </row>
    <row r="548" spans="2:19" ht="14.25" customHeight="1" x14ac:dyDescent="0.3">
      <c r="B548" s="5"/>
      <c r="Q548" s="13"/>
      <c r="R548" s="14"/>
      <c r="S548" s="14"/>
    </row>
    <row r="549" spans="2:19" ht="14.25" customHeight="1" x14ac:dyDescent="0.3">
      <c r="B549" s="5"/>
      <c r="Q549" s="13"/>
      <c r="R549" s="14"/>
      <c r="S549" s="14"/>
    </row>
    <row r="550" spans="2:19" ht="14.25" customHeight="1" x14ac:dyDescent="0.3">
      <c r="B550" s="5"/>
      <c r="Q550" s="13"/>
      <c r="R550" s="14"/>
      <c r="S550" s="14"/>
    </row>
    <row r="551" spans="2:19" ht="14.25" customHeight="1" x14ac:dyDescent="0.3">
      <c r="B551" s="5"/>
      <c r="Q551" s="13"/>
      <c r="R551" s="14"/>
      <c r="S551" s="14"/>
    </row>
    <row r="552" spans="2:19" ht="14.25" customHeight="1" x14ac:dyDescent="0.3">
      <c r="B552" s="5"/>
      <c r="Q552" s="13"/>
      <c r="R552" s="14"/>
      <c r="S552" s="14"/>
    </row>
    <row r="553" spans="2:19" ht="14.25" customHeight="1" x14ac:dyDescent="0.3">
      <c r="B553" s="5"/>
      <c r="Q553" s="13"/>
      <c r="R553" s="14"/>
      <c r="S553" s="14"/>
    </row>
    <row r="554" spans="2:19" ht="14.25" customHeight="1" x14ac:dyDescent="0.3">
      <c r="B554" s="5"/>
      <c r="Q554" s="13"/>
      <c r="R554" s="14"/>
      <c r="S554" s="14"/>
    </row>
    <row r="555" spans="2:19" ht="14.25" customHeight="1" x14ac:dyDescent="0.3">
      <c r="B555" s="5"/>
      <c r="Q555" s="13"/>
      <c r="R555" s="14"/>
      <c r="S555" s="14"/>
    </row>
    <row r="556" spans="2:19" ht="14.25" customHeight="1" x14ac:dyDescent="0.3">
      <c r="B556" s="5"/>
      <c r="Q556" s="13"/>
      <c r="R556" s="14"/>
      <c r="S556" s="14"/>
    </row>
    <row r="557" spans="2:19" ht="14.25" customHeight="1" x14ac:dyDescent="0.3">
      <c r="B557" s="5"/>
      <c r="Q557" s="13"/>
      <c r="R557" s="14"/>
      <c r="S557" s="14"/>
    </row>
    <row r="558" spans="2:19" ht="14.25" customHeight="1" x14ac:dyDescent="0.3">
      <c r="B558" s="5"/>
      <c r="Q558" s="13"/>
      <c r="R558" s="14"/>
      <c r="S558" s="14"/>
    </row>
    <row r="559" spans="2:19" ht="14.25" customHeight="1" x14ac:dyDescent="0.3">
      <c r="B559" s="5"/>
      <c r="Q559" s="13"/>
      <c r="R559" s="14"/>
      <c r="S559" s="14"/>
    </row>
    <row r="560" spans="2:19" ht="14.25" customHeight="1" x14ac:dyDescent="0.3">
      <c r="B560" s="5"/>
      <c r="Q560" s="13"/>
      <c r="R560" s="14"/>
      <c r="S560" s="14"/>
    </row>
    <row r="561" spans="2:19" ht="14.25" customHeight="1" x14ac:dyDescent="0.3">
      <c r="B561" s="5"/>
      <c r="Q561" s="13"/>
      <c r="R561" s="14"/>
      <c r="S561" s="14"/>
    </row>
    <row r="562" spans="2:19" ht="14.25" customHeight="1" x14ac:dyDescent="0.3">
      <c r="B562" s="5"/>
      <c r="Q562" s="13"/>
      <c r="R562" s="14"/>
      <c r="S562" s="14"/>
    </row>
    <row r="563" spans="2:19" ht="14.25" customHeight="1" x14ac:dyDescent="0.3">
      <c r="B563" s="5"/>
      <c r="Q563" s="13"/>
      <c r="R563" s="14"/>
      <c r="S563" s="14"/>
    </row>
    <row r="564" spans="2:19" ht="14.25" customHeight="1" x14ac:dyDescent="0.3">
      <c r="B564" s="5"/>
      <c r="Q564" s="13"/>
      <c r="R564" s="14"/>
      <c r="S564" s="14"/>
    </row>
    <row r="565" spans="2:19" ht="14.25" customHeight="1" x14ac:dyDescent="0.3">
      <c r="B565" s="5"/>
      <c r="Q565" s="13"/>
      <c r="R565" s="14"/>
      <c r="S565" s="14"/>
    </row>
    <row r="566" spans="2:19" ht="14.25" customHeight="1" x14ac:dyDescent="0.3">
      <c r="B566" s="5"/>
      <c r="Q566" s="13"/>
      <c r="R566" s="14"/>
      <c r="S566" s="14"/>
    </row>
    <row r="567" spans="2:19" ht="14.25" customHeight="1" x14ac:dyDescent="0.3">
      <c r="B567" s="5"/>
      <c r="Q567" s="13"/>
      <c r="R567" s="14"/>
      <c r="S567" s="14"/>
    </row>
    <row r="568" spans="2:19" ht="14.25" customHeight="1" x14ac:dyDescent="0.3">
      <c r="B568" s="5"/>
      <c r="Q568" s="13"/>
      <c r="R568" s="14"/>
      <c r="S568" s="14"/>
    </row>
    <row r="569" spans="2:19" ht="14.25" customHeight="1" x14ac:dyDescent="0.3">
      <c r="B569" s="5"/>
      <c r="Q569" s="13"/>
      <c r="R569" s="14"/>
      <c r="S569" s="14"/>
    </row>
    <row r="570" spans="2:19" ht="14.25" customHeight="1" x14ac:dyDescent="0.3">
      <c r="B570" s="5"/>
      <c r="Q570" s="13"/>
      <c r="R570" s="14"/>
      <c r="S570" s="14"/>
    </row>
    <row r="571" spans="2:19" ht="14.25" customHeight="1" x14ac:dyDescent="0.3">
      <c r="B571" s="5"/>
      <c r="Q571" s="13"/>
      <c r="R571" s="14"/>
      <c r="S571" s="14"/>
    </row>
    <row r="572" spans="2:19" ht="14.25" customHeight="1" x14ac:dyDescent="0.3">
      <c r="B572" s="5"/>
      <c r="Q572" s="13"/>
      <c r="R572" s="14"/>
      <c r="S572" s="14"/>
    </row>
    <row r="573" spans="2:19" ht="14.25" customHeight="1" x14ac:dyDescent="0.3">
      <c r="B573" s="5"/>
      <c r="Q573" s="13"/>
      <c r="R573" s="14"/>
      <c r="S573" s="14"/>
    </row>
    <row r="574" spans="2:19" ht="14.25" customHeight="1" x14ac:dyDescent="0.3">
      <c r="B574" s="5"/>
      <c r="Q574" s="13"/>
      <c r="R574" s="14"/>
      <c r="S574" s="14"/>
    </row>
    <row r="575" spans="2:19" ht="14.25" customHeight="1" x14ac:dyDescent="0.3">
      <c r="B575" s="5"/>
      <c r="Q575" s="13"/>
      <c r="R575" s="14"/>
      <c r="S575" s="14"/>
    </row>
    <row r="576" spans="2:19" ht="14.25" customHeight="1" x14ac:dyDescent="0.3">
      <c r="B576" s="5"/>
      <c r="Q576" s="13"/>
      <c r="R576" s="14"/>
      <c r="S576" s="14"/>
    </row>
    <row r="577" spans="2:19" ht="14.25" customHeight="1" x14ac:dyDescent="0.3">
      <c r="B577" s="5"/>
      <c r="Q577" s="13"/>
      <c r="R577" s="14"/>
      <c r="S577" s="14"/>
    </row>
    <row r="578" spans="2:19" ht="14.25" customHeight="1" x14ac:dyDescent="0.3">
      <c r="B578" s="5"/>
      <c r="Q578" s="13"/>
      <c r="R578" s="14"/>
      <c r="S578" s="14"/>
    </row>
    <row r="579" spans="2:19" ht="14.25" customHeight="1" x14ac:dyDescent="0.3">
      <c r="B579" s="5"/>
      <c r="Q579" s="13"/>
      <c r="R579" s="14"/>
      <c r="S579" s="14"/>
    </row>
    <row r="580" spans="2:19" ht="14.25" customHeight="1" x14ac:dyDescent="0.3">
      <c r="B580" s="5"/>
      <c r="Q580" s="13"/>
      <c r="R580" s="14"/>
      <c r="S580" s="14"/>
    </row>
    <row r="581" spans="2:19" ht="14.25" customHeight="1" x14ac:dyDescent="0.3">
      <c r="B581" s="5"/>
      <c r="Q581" s="13"/>
      <c r="R581" s="14"/>
      <c r="S581" s="14"/>
    </row>
    <row r="582" spans="2:19" ht="14.25" customHeight="1" x14ac:dyDescent="0.3">
      <c r="B582" s="5"/>
      <c r="Q582" s="13"/>
      <c r="R582" s="14"/>
      <c r="S582" s="14"/>
    </row>
    <row r="583" spans="2:19" ht="14.25" customHeight="1" x14ac:dyDescent="0.3">
      <c r="B583" s="5"/>
      <c r="Q583" s="13"/>
      <c r="R583" s="14"/>
      <c r="S583" s="14"/>
    </row>
    <row r="584" spans="2:19" ht="14.25" customHeight="1" x14ac:dyDescent="0.3">
      <c r="B584" s="5"/>
      <c r="Q584" s="13"/>
      <c r="R584" s="14"/>
      <c r="S584" s="14"/>
    </row>
    <row r="585" spans="2:19" ht="14.25" customHeight="1" x14ac:dyDescent="0.3">
      <c r="B585" s="5"/>
      <c r="Q585" s="13"/>
      <c r="R585" s="14"/>
      <c r="S585" s="14"/>
    </row>
    <row r="586" spans="2:19" ht="14.25" customHeight="1" x14ac:dyDescent="0.3">
      <c r="B586" s="5"/>
      <c r="Q586" s="13"/>
      <c r="R586" s="14"/>
      <c r="S586" s="14"/>
    </row>
    <row r="587" spans="2:19" ht="14.25" customHeight="1" x14ac:dyDescent="0.3">
      <c r="B587" s="5"/>
      <c r="Q587" s="13"/>
      <c r="R587" s="14"/>
      <c r="S587" s="14"/>
    </row>
    <row r="588" spans="2:19" ht="14.25" customHeight="1" x14ac:dyDescent="0.3">
      <c r="B588" s="5"/>
      <c r="Q588" s="13"/>
      <c r="R588" s="14"/>
      <c r="S588" s="14"/>
    </row>
    <row r="589" spans="2:19" ht="14.25" customHeight="1" x14ac:dyDescent="0.3">
      <c r="B589" s="5"/>
      <c r="Q589" s="13"/>
      <c r="R589" s="14"/>
      <c r="S589" s="14"/>
    </row>
    <row r="590" spans="2:19" ht="14.25" customHeight="1" x14ac:dyDescent="0.3">
      <c r="B590" s="5"/>
      <c r="Q590" s="13"/>
      <c r="R590" s="14"/>
      <c r="S590" s="14"/>
    </row>
    <row r="591" spans="2:19" ht="14.25" customHeight="1" x14ac:dyDescent="0.3">
      <c r="B591" s="5"/>
      <c r="Q591" s="13"/>
      <c r="R591" s="14"/>
      <c r="S591" s="14"/>
    </row>
    <row r="592" spans="2:19" ht="14.25" customHeight="1" x14ac:dyDescent="0.3">
      <c r="B592" s="5"/>
      <c r="Q592" s="13"/>
      <c r="R592" s="14"/>
      <c r="S592" s="14"/>
    </row>
    <row r="593" spans="2:19" ht="14.25" customHeight="1" x14ac:dyDescent="0.3">
      <c r="B593" s="5"/>
      <c r="Q593" s="13"/>
      <c r="R593" s="14"/>
      <c r="S593" s="14"/>
    </row>
    <row r="594" spans="2:19" ht="14.25" customHeight="1" x14ac:dyDescent="0.3">
      <c r="B594" s="5"/>
      <c r="Q594" s="13"/>
      <c r="R594" s="14"/>
      <c r="S594" s="14"/>
    </row>
    <row r="595" spans="2:19" ht="14.25" customHeight="1" x14ac:dyDescent="0.3">
      <c r="B595" s="5"/>
      <c r="Q595" s="13"/>
      <c r="R595" s="14"/>
      <c r="S595" s="14"/>
    </row>
    <row r="596" spans="2:19" ht="14.25" customHeight="1" x14ac:dyDescent="0.3">
      <c r="B596" s="5"/>
      <c r="Q596" s="13"/>
      <c r="R596" s="14"/>
      <c r="S596" s="14"/>
    </row>
    <row r="597" spans="2:19" ht="14.25" customHeight="1" x14ac:dyDescent="0.3">
      <c r="B597" s="5"/>
      <c r="Q597" s="13"/>
      <c r="R597" s="14"/>
      <c r="S597" s="14"/>
    </row>
    <row r="598" spans="2:19" ht="14.25" customHeight="1" x14ac:dyDescent="0.3">
      <c r="B598" s="5"/>
      <c r="Q598" s="13"/>
      <c r="R598" s="14"/>
      <c r="S598" s="14"/>
    </row>
    <row r="599" spans="2:19" ht="14.25" customHeight="1" x14ac:dyDescent="0.3">
      <c r="B599" s="5"/>
      <c r="Q599" s="13"/>
      <c r="R599" s="14"/>
      <c r="S599" s="14"/>
    </row>
    <row r="600" spans="2:19" ht="14.25" customHeight="1" x14ac:dyDescent="0.3">
      <c r="B600" s="5"/>
      <c r="Q600" s="13"/>
      <c r="R600" s="14"/>
      <c r="S600" s="14"/>
    </row>
    <row r="601" spans="2:19" ht="14.25" customHeight="1" x14ac:dyDescent="0.3">
      <c r="B601" s="5"/>
      <c r="Q601" s="13"/>
      <c r="R601" s="14"/>
      <c r="S601" s="14"/>
    </row>
    <row r="602" spans="2:19" ht="14.25" customHeight="1" x14ac:dyDescent="0.3">
      <c r="B602" s="5"/>
      <c r="Q602" s="13"/>
      <c r="R602" s="14"/>
      <c r="S602" s="14"/>
    </row>
    <row r="603" spans="2:19" ht="14.25" customHeight="1" x14ac:dyDescent="0.3">
      <c r="B603" s="5"/>
      <c r="Q603" s="13"/>
      <c r="R603" s="14"/>
      <c r="S603" s="14"/>
    </row>
    <row r="604" spans="2:19" ht="14.25" customHeight="1" x14ac:dyDescent="0.3">
      <c r="B604" s="5"/>
      <c r="Q604" s="13"/>
      <c r="R604" s="14"/>
      <c r="S604" s="14"/>
    </row>
    <row r="605" spans="2:19" ht="14.25" customHeight="1" x14ac:dyDescent="0.3">
      <c r="B605" s="5"/>
      <c r="Q605" s="13"/>
      <c r="R605" s="14"/>
      <c r="S605" s="14"/>
    </row>
    <row r="606" spans="2:19" ht="14.25" customHeight="1" x14ac:dyDescent="0.3">
      <c r="B606" s="5"/>
      <c r="Q606" s="13"/>
      <c r="R606" s="14"/>
      <c r="S606" s="14"/>
    </row>
    <row r="607" spans="2:19" ht="14.25" customHeight="1" x14ac:dyDescent="0.3">
      <c r="B607" s="5"/>
      <c r="Q607" s="13"/>
      <c r="R607" s="14"/>
      <c r="S607" s="14"/>
    </row>
    <row r="608" spans="2:19" ht="14.25" customHeight="1" x14ac:dyDescent="0.3">
      <c r="B608" s="5"/>
      <c r="Q608" s="13"/>
      <c r="R608" s="14"/>
      <c r="S608" s="14"/>
    </row>
    <row r="609" spans="2:19" ht="14.25" customHeight="1" x14ac:dyDescent="0.3">
      <c r="B609" s="5"/>
      <c r="Q609" s="13"/>
      <c r="R609" s="14"/>
      <c r="S609" s="14"/>
    </row>
    <row r="610" spans="2:19" ht="14.25" customHeight="1" x14ac:dyDescent="0.3">
      <c r="B610" s="5"/>
      <c r="Q610" s="13"/>
      <c r="R610" s="14"/>
      <c r="S610" s="14"/>
    </row>
    <row r="611" spans="2:19" ht="14.25" customHeight="1" x14ac:dyDescent="0.3">
      <c r="B611" s="5"/>
      <c r="Q611" s="13"/>
      <c r="R611" s="14"/>
      <c r="S611" s="14"/>
    </row>
    <row r="612" spans="2:19" ht="14.25" customHeight="1" x14ac:dyDescent="0.3">
      <c r="B612" s="5"/>
      <c r="Q612" s="13"/>
      <c r="R612" s="14"/>
      <c r="S612" s="14"/>
    </row>
    <row r="613" spans="2:19" ht="14.25" customHeight="1" x14ac:dyDescent="0.3">
      <c r="B613" s="5"/>
      <c r="Q613" s="13"/>
      <c r="R613" s="14"/>
      <c r="S613" s="14"/>
    </row>
    <row r="614" spans="2:19" ht="14.25" customHeight="1" x14ac:dyDescent="0.3">
      <c r="B614" s="5"/>
      <c r="Q614" s="13"/>
      <c r="R614" s="14"/>
      <c r="S614" s="14"/>
    </row>
    <row r="615" spans="2:19" ht="14.25" customHeight="1" x14ac:dyDescent="0.3">
      <c r="B615" s="5"/>
      <c r="Q615" s="13"/>
      <c r="R615" s="14"/>
      <c r="S615" s="14"/>
    </row>
    <row r="616" spans="2:19" ht="14.25" customHeight="1" x14ac:dyDescent="0.3">
      <c r="B616" s="5"/>
      <c r="Q616" s="13"/>
      <c r="R616" s="14"/>
      <c r="S616" s="14"/>
    </row>
    <row r="617" spans="2:19" ht="14.25" customHeight="1" x14ac:dyDescent="0.3">
      <c r="B617" s="5"/>
      <c r="Q617" s="13"/>
      <c r="R617" s="14"/>
      <c r="S617" s="14"/>
    </row>
    <row r="618" spans="2:19" ht="14.25" customHeight="1" x14ac:dyDescent="0.3">
      <c r="B618" s="5"/>
      <c r="Q618" s="13"/>
      <c r="R618" s="14"/>
      <c r="S618" s="14"/>
    </row>
    <row r="619" spans="2:19" ht="14.25" customHeight="1" x14ac:dyDescent="0.3">
      <c r="B619" s="5"/>
      <c r="Q619" s="13"/>
      <c r="R619" s="14"/>
      <c r="S619" s="14"/>
    </row>
    <row r="620" spans="2:19" ht="14.25" customHeight="1" x14ac:dyDescent="0.3">
      <c r="B620" s="5"/>
      <c r="Q620" s="13"/>
      <c r="R620" s="14"/>
      <c r="S620" s="14"/>
    </row>
    <row r="621" spans="2:19" ht="14.25" customHeight="1" x14ac:dyDescent="0.3">
      <c r="B621" s="5"/>
      <c r="Q621" s="13"/>
      <c r="R621" s="14"/>
      <c r="S621" s="14"/>
    </row>
    <row r="622" spans="2:19" ht="14.25" customHeight="1" x14ac:dyDescent="0.3">
      <c r="B622" s="5"/>
      <c r="Q622" s="13"/>
      <c r="R622" s="14"/>
      <c r="S622" s="14"/>
    </row>
    <row r="623" spans="2:19" ht="14.25" customHeight="1" x14ac:dyDescent="0.3">
      <c r="B623" s="5"/>
      <c r="Q623" s="13"/>
      <c r="R623" s="14"/>
      <c r="S623" s="14"/>
    </row>
    <row r="624" spans="2:19" ht="14.25" customHeight="1" x14ac:dyDescent="0.3">
      <c r="B624" s="5"/>
      <c r="Q624" s="13"/>
      <c r="R624" s="14"/>
      <c r="S624" s="14"/>
    </row>
    <row r="625" spans="2:19" ht="14.25" customHeight="1" x14ac:dyDescent="0.3">
      <c r="B625" s="5"/>
      <c r="Q625" s="13"/>
      <c r="R625" s="14"/>
      <c r="S625" s="14"/>
    </row>
    <row r="626" spans="2:19" ht="14.25" customHeight="1" x14ac:dyDescent="0.3">
      <c r="B626" s="5"/>
      <c r="Q626" s="13"/>
      <c r="R626" s="14"/>
      <c r="S626" s="14"/>
    </row>
    <row r="627" spans="2:19" ht="14.25" customHeight="1" x14ac:dyDescent="0.3">
      <c r="B627" s="5"/>
      <c r="Q627" s="13"/>
      <c r="R627" s="14"/>
      <c r="S627" s="14"/>
    </row>
    <row r="628" spans="2:19" ht="14.25" customHeight="1" x14ac:dyDescent="0.3">
      <c r="B628" s="5"/>
      <c r="Q628" s="13"/>
      <c r="R628" s="14"/>
      <c r="S628" s="14"/>
    </row>
    <row r="629" spans="2:19" ht="14.25" customHeight="1" x14ac:dyDescent="0.3">
      <c r="B629" s="5"/>
      <c r="Q629" s="13"/>
      <c r="R629" s="14"/>
      <c r="S629" s="14"/>
    </row>
    <row r="630" spans="2:19" ht="14.25" customHeight="1" x14ac:dyDescent="0.3">
      <c r="B630" s="5"/>
      <c r="Q630" s="13"/>
      <c r="R630" s="14"/>
      <c r="S630" s="14"/>
    </row>
    <row r="631" spans="2:19" ht="14.25" customHeight="1" x14ac:dyDescent="0.3">
      <c r="B631" s="5"/>
      <c r="Q631" s="13"/>
      <c r="R631" s="14"/>
      <c r="S631" s="14"/>
    </row>
    <row r="632" spans="2:19" ht="14.25" customHeight="1" x14ac:dyDescent="0.3">
      <c r="B632" s="5"/>
      <c r="Q632" s="13"/>
      <c r="R632" s="14"/>
      <c r="S632" s="14"/>
    </row>
    <row r="633" spans="2:19" ht="14.25" customHeight="1" x14ac:dyDescent="0.3">
      <c r="B633" s="5"/>
      <c r="Q633" s="13"/>
      <c r="R633" s="14"/>
      <c r="S633" s="14"/>
    </row>
    <row r="634" spans="2:19" ht="14.25" customHeight="1" x14ac:dyDescent="0.3">
      <c r="B634" s="5"/>
      <c r="Q634" s="13"/>
      <c r="R634" s="14"/>
      <c r="S634" s="14"/>
    </row>
    <row r="635" spans="2:19" ht="14.25" customHeight="1" x14ac:dyDescent="0.3">
      <c r="B635" s="5"/>
      <c r="Q635" s="13"/>
      <c r="R635" s="14"/>
      <c r="S635" s="14"/>
    </row>
    <row r="636" spans="2:19" ht="14.25" customHeight="1" x14ac:dyDescent="0.3">
      <c r="B636" s="5"/>
      <c r="Q636" s="13"/>
      <c r="R636" s="14"/>
      <c r="S636" s="14"/>
    </row>
    <row r="637" spans="2:19" ht="14.25" customHeight="1" x14ac:dyDescent="0.3">
      <c r="B637" s="5"/>
      <c r="Q637" s="13"/>
      <c r="R637" s="14"/>
      <c r="S637" s="14"/>
    </row>
    <row r="638" spans="2:19" ht="14.25" customHeight="1" x14ac:dyDescent="0.3">
      <c r="B638" s="5"/>
      <c r="Q638" s="13"/>
      <c r="R638" s="14"/>
      <c r="S638" s="14"/>
    </row>
    <row r="639" spans="2:19" ht="14.25" customHeight="1" x14ac:dyDescent="0.3">
      <c r="B639" s="5"/>
      <c r="Q639" s="13"/>
      <c r="R639" s="14"/>
      <c r="S639" s="14"/>
    </row>
    <row r="640" spans="2:19" ht="14.25" customHeight="1" x14ac:dyDescent="0.3">
      <c r="B640" s="5"/>
      <c r="Q640" s="13"/>
      <c r="R640" s="14"/>
      <c r="S640" s="14"/>
    </row>
    <row r="641" spans="2:19" ht="14.25" customHeight="1" x14ac:dyDescent="0.3">
      <c r="B641" s="5"/>
      <c r="Q641" s="13"/>
      <c r="R641" s="14"/>
      <c r="S641" s="14"/>
    </row>
    <row r="642" spans="2:19" ht="14.25" customHeight="1" x14ac:dyDescent="0.3">
      <c r="B642" s="5"/>
      <c r="Q642" s="13"/>
      <c r="R642" s="14"/>
      <c r="S642" s="14"/>
    </row>
    <row r="643" spans="2:19" ht="14.25" customHeight="1" x14ac:dyDescent="0.3">
      <c r="B643" s="5"/>
      <c r="Q643" s="13"/>
      <c r="R643" s="14"/>
      <c r="S643" s="14"/>
    </row>
    <row r="644" spans="2:19" ht="14.25" customHeight="1" x14ac:dyDescent="0.3">
      <c r="B644" s="5"/>
      <c r="Q644" s="13"/>
      <c r="R644" s="14"/>
      <c r="S644" s="14"/>
    </row>
    <row r="645" spans="2:19" ht="14.25" customHeight="1" x14ac:dyDescent="0.3">
      <c r="B645" s="5"/>
      <c r="Q645" s="13"/>
      <c r="R645" s="14"/>
      <c r="S645" s="14"/>
    </row>
    <row r="646" spans="2:19" ht="14.25" customHeight="1" x14ac:dyDescent="0.3">
      <c r="B646" s="5"/>
      <c r="Q646" s="13"/>
      <c r="R646" s="14"/>
      <c r="S646" s="14"/>
    </row>
    <row r="647" spans="2:19" ht="14.25" customHeight="1" x14ac:dyDescent="0.3">
      <c r="B647" s="5"/>
      <c r="Q647" s="13"/>
      <c r="R647" s="14"/>
      <c r="S647" s="14"/>
    </row>
    <row r="648" spans="2:19" ht="14.25" customHeight="1" x14ac:dyDescent="0.3">
      <c r="B648" s="5"/>
      <c r="Q648" s="13"/>
      <c r="R648" s="14"/>
      <c r="S648" s="14"/>
    </row>
    <row r="649" spans="2:19" ht="14.25" customHeight="1" x14ac:dyDescent="0.3">
      <c r="B649" s="5"/>
      <c r="Q649" s="13"/>
      <c r="R649" s="14"/>
      <c r="S649" s="14"/>
    </row>
    <row r="650" spans="2:19" ht="14.25" customHeight="1" x14ac:dyDescent="0.3">
      <c r="B650" s="5"/>
      <c r="Q650" s="13"/>
      <c r="R650" s="14"/>
      <c r="S650" s="14"/>
    </row>
    <row r="651" spans="2:19" ht="14.25" customHeight="1" x14ac:dyDescent="0.3">
      <c r="B651" s="5"/>
      <c r="Q651" s="13"/>
      <c r="R651" s="14"/>
      <c r="S651" s="14"/>
    </row>
    <row r="652" spans="2:19" ht="14.25" customHeight="1" x14ac:dyDescent="0.3">
      <c r="B652" s="5"/>
      <c r="Q652" s="13"/>
      <c r="R652" s="14"/>
      <c r="S652" s="14"/>
    </row>
    <row r="653" spans="2:19" ht="14.25" customHeight="1" x14ac:dyDescent="0.3">
      <c r="B653" s="5"/>
      <c r="Q653" s="13"/>
      <c r="R653" s="14"/>
      <c r="S653" s="14"/>
    </row>
    <row r="654" spans="2:19" ht="14.25" customHeight="1" x14ac:dyDescent="0.3">
      <c r="B654" s="5"/>
      <c r="Q654" s="13"/>
      <c r="R654" s="14"/>
      <c r="S654" s="14"/>
    </row>
    <row r="655" spans="2:19" ht="14.25" customHeight="1" x14ac:dyDescent="0.3">
      <c r="B655" s="5"/>
      <c r="Q655" s="13"/>
      <c r="R655" s="14"/>
      <c r="S655" s="14"/>
    </row>
    <row r="656" spans="2:19" ht="14.25" customHeight="1" x14ac:dyDescent="0.3">
      <c r="B656" s="5"/>
      <c r="Q656" s="13"/>
      <c r="R656" s="14"/>
      <c r="S656" s="14"/>
    </row>
    <row r="657" spans="2:19" ht="14.25" customHeight="1" x14ac:dyDescent="0.3">
      <c r="B657" s="5"/>
      <c r="Q657" s="13"/>
      <c r="R657" s="14"/>
      <c r="S657" s="14"/>
    </row>
    <row r="658" spans="2:19" ht="14.25" customHeight="1" x14ac:dyDescent="0.3">
      <c r="B658" s="5"/>
      <c r="Q658" s="13"/>
      <c r="R658" s="14"/>
      <c r="S658" s="14"/>
    </row>
    <row r="659" spans="2:19" ht="14.25" customHeight="1" x14ac:dyDescent="0.3">
      <c r="B659" s="5"/>
      <c r="Q659" s="13"/>
      <c r="R659" s="14"/>
      <c r="S659" s="14"/>
    </row>
    <row r="660" spans="2:19" ht="14.25" customHeight="1" x14ac:dyDescent="0.3">
      <c r="B660" s="5"/>
      <c r="Q660" s="13"/>
      <c r="R660" s="14"/>
      <c r="S660" s="14"/>
    </row>
    <row r="661" spans="2:19" ht="14.25" customHeight="1" x14ac:dyDescent="0.3">
      <c r="B661" s="5"/>
      <c r="Q661" s="13"/>
      <c r="R661" s="14"/>
      <c r="S661" s="14"/>
    </row>
    <row r="662" spans="2:19" ht="14.25" customHeight="1" x14ac:dyDescent="0.3">
      <c r="B662" s="5"/>
      <c r="Q662" s="13"/>
      <c r="R662" s="14"/>
      <c r="S662" s="14"/>
    </row>
    <row r="663" spans="2:19" ht="14.25" customHeight="1" x14ac:dyDescent="0.3">
      <c r="B663" s="5"/>
      <c r="Q663" s="13"/>
      <c r="R663" s="14"/>
      <c r="S663" s="14"/>
    </row>
    <row r="664" spans="2:19" ht="14.25" customHeight="1" x14ac:dyDescent="0.3">
      <c r="B664" s="5"/>
      <c r="Q664" s="13"/>
      <c r="R664" s="14"/>
      <c r="S664" s="14"/>
    </row>
    <row r="665" spans="2:19" ht="14.25" customHeight="1" x14ac:dyDescent="0.3">
      <c r="B665" s="5"/>
      <c r="Q665" s="13"/>
      <c r="R665" s="14"/>
      <c r="S665" s="14"/>
    </row>
    <row r="666" spans="2:19" ht="14.25" customHeight="1" x14ac:dyDescent="0.3">
      <c r="B666" s="5"/>
      <c r="Q666" s="13"/>
      <c r="R666" s="14"/>
      <c r="S666" s="14"/>
    </row>
    <row r="667" spans="2:19" ht="14.25" customHeight="1" x14ac:dyDescent="0.3">
      <c r="B667" s="5"/>
      <c r="Q667" s="13"/>
      <c r="R667" s="14"/>
      <c r="S667" s="14"/>
    </row>
    <row r="668" spans="2:19" ht="14.25" customHeight="1" x14ac:dyDescent="0.3">
      <c r="B668" s="5"/>
      <c r="Q668" s="13"/>
      <c r="R668" s="14"/>
      <c r="S668" s="14"/>
    </row>
    <row r="669" spans="2:19" ht="14.25" customHeight="1" x14ac:dyDescent="0.3">
      <c r="B669" s="5"/>
      <c r="Q669" s="13"/>
      <c r="R669" s="14"/>
      <c r="S669" s="14"/>
    </row>
    <row r="670" spans="2:19" ht="14.25" customHeight="1" x14ac:dyDescent="0.3">
      <c r="B670" s="5"/>
      <c r="Q670" s="13"/>
      <c r="R670" s="14"/>
      <c r="S670" s="14"/>
    </row>
    <row r="671" spans="2:19" ht="14.25" customHeight="1" x14ac:dyDescent="0.3">
      <c r="B671" s="5"/>
      <c r="Q671" s="13"/>
      <c r="R671" s="14"/>
      <c r="S671" s="14"/>
    </row>
    <row r="672" spans="2:19" ht="14.25" customHeight="1" x14ac:dyDescent="0.3">
      <c r="B672" s="5"/>
      <c r="Q672" s="13"/>
      <c r="R672" s="14"/>
      <c r="S672" s="14"/>
    </row>
    <row r="673" spans="2:19" ht="14.25" customHeight="1" x14ac:dyDescent="0.3">
      <c r="B673" s="5"/>
      <c r="Q673" s="13"/>
      <c r="R673" s="14"/>
      <c r="S673" s="14"/>
    </row>
    <row r="674" spans="2:19" ht="14.25" customHeight="1" x14ac:dyDescent="0.3">
      <c r="B674" s="5"/>
      <c r="Q674" s="13"/>
      <c r="R674" s="14"/>
      <c r="S674" s="14"/>
    </row>
    <row r="675" spans="2:19" ht="14.25" customHeight="1" x14ac:dyDescent="0.3">
      <c r="B675" s="5"/>
      <c r="Q675" s="13"/>
      <c r="R675" s="14"/>
      <c r="S675" s="14"/>
    </row>
    <row r="676" spans="2:19" ht="14.25" customHeight="1" x14ac:dyDescent="0.3">
      <c r="B676" s="5"/>
      <c r="Q676" s="13"/>
      <c r="R676" s="14"/>
      <c r="S676" s="14"/>
    </row>
    <row r="677" spans="2:19" ht="14.25" customHeight="1" x14ac:dyDescent="0.3">
      <c r="B677" s="5"/>
      <c r="Q677" s="13"/>
      <c r="R677" s="14"/>
      <c r="S677" s="14"/>
    </row>
    <row r="678" spans="2:19" ht="14.25" customHeight="1" x14ac:dyDescent="0.3">
      <c r="B678" s="5"/>
      <c r="Q678" s="13"/>
      <c r="R678" s="14"/>
      <c r="S678" s="14"/>
    </row>
    <row r="679" spans="2:19" ht="14.25" customHeight="1" x14ac:dyDescent="0.3">
      <c r="B679" s="5"/>
      <c r="Q679" s="13"/>
      <c r="R679" s="14"/>
      <c r="S679" s="14"/>
    </row>
    <row r="680" spans="2:19" ht="14.25" customHeight="1" x14ac:dyDescent="0.3">
      <c r="B680" s="5"/>
      <c r="Q680" s="13"/>
      <c r="R680" s="14"/>
      <c r="S680" s="14"/>
    </row>
    <row r="681" spans="2:19" ht="14.25" customHeight="1" x14ac:dyDescent="0.3">
      <c r="B681" s="5"/>
      <c r="Q681" s="13"/>
      <c r="R681" s="14"/>
      <c r="S681" s="14"/>
    </row>
    <row r="682" spans="2:19" ht="14.25" customHeight="1" x14ac:dyDescent="0.3">
      <c r="B682" s="5"/>
      <c r="Q682" s="13"/>
      <c r="R682" s="14"/>
      <c r="S682" s="14"/>
    </row>
    <row r="683" spans="2:19" ht="14.25" customHeight="1" x14ac:dyDescent="0.3">
      <c r="B683" s="5"/>
      <c r="Q683" s="13"/>
      <c r="R683" s="14"/>
      <c r="S683" s="14"/>
    </row>
    <row r="684" spans="2:19" ht="14.25" customHeight="1" x14ac:dyDescent="0.3">
      <c r="B684" s="5"/>
      <c r="Q684" s="13"/>
      <c r="R684" s="14"/>
      <c r="S684" s="14"/>
    </row>
    <row r="685" spans="2:19" ht="14.25" customHeight="1" x14ac:dyDescent="0.3">
      <c r="B685" s="5"/>
      <c r="Q685" s="13"/>
      <c r="R685" s="14"/>
      <c r="S685" s="14"/>
    </row>
    <row r="686" spans="2:19" ht="14.25" customHeight="1" x14ac:dyDescent="0.3">
      <c r="B686" s="5"/>
      <c r="Q686" s="13"/>
      <c r="R686" s="14"/>
      <c r="S686" s="14"/>
    </row>
    <row r="687" spans="2:19" ht="14.25" customHeight="1" x14ac:dyDescent="0.3">
      <c r="B687" s="5"/>
      <c r="Q687" s="13"/>
      <c r="R687" s="14"/>
      <c r="S687" s="14"/>
    </row>
    <row r="688" spans="2:19" ht="14.25" customHeight="1" x14ac:dyDescent="0.3">
      <c r="B688" s="5"/>
      <c r="Q688" s="13"/>
      <c r="R688" s="14"/>
      <c r="S688" s="14"/>
    </row>
    <row r="689" spans="2:19" ht="14.25" customHeight="1" x14ac:dyDescent="0.3">
      <c r="B689" s="5"/>
      <c r="Q689" s="13"/>
      <c r="R689" s="14"/>
      <c r="S689" s="14"/>
    </row>
    <row r="690" spans="2:19" ht="14.25" customHeight="1" x14ac:dyDescent="0.3">
      <c r="B690" s="5"/>
      <c r="Q690" s="13"/>
      <c r="R690" s="14"/>
      <c r="S690" s="14"/>
    </row>
    <row r="691" spans="2:19" ht="14.25" customHeight="1" x14ac:dyDescent="0.3">
      <c r="B691" s="5"/>
      <c r="Q691" s="13"/>
      <c r="R691" s="14"/>
      <c r="S691" s="14"/>
    </row>
    <row r="692" spans="2:19" ht="14.25" customHeight="1" x14ac:dyDescent="0.3">
      <c r="B692" s="5"/>
      <c r="Q692" s="13"/>
      <c r="R692" s="14"/>
      <c r="S692" s="14"/>
    </row>
    <row r="693" spans="2:19" ht="14.25" customHeight="1" x14ac:dyDescent="0.3">
      <c r="B693" s="5"/>
      <c r="Q693" s="13"/>
      <c r="R693" s="14"/>
      <c r="S693" s="14"/>
    </row>
    <row r="694" spans="2:19" ht="14.25" customHeight="1" x14ac:dyDescent="0.3">
      <c r="B694" s="5"/>
      <c r="Q694" s="13"/>
      <c r="R694" s="14"/>
      <c r="S694" s="14"/>
    </row>
    <row r="695" spans="2:19" ht="14.25" customHeight="1" x14ac:dyDescent="0.3">
      <c r="B695" s="5"/>
      <c r="Q695" s="13"/>
      <c r="R695" s="14"/>
      <c r="S695" s="14"/>
    </row>
    <row r="696" spans="2:19" ht="14.25" customHeight="1" x14ac:dyDescent="0.3">
      <c r="B696" s="5"/>
      <c r="Q696" s="13"/>
      <c r="R696" s="14"/>
      <c r="S696" s="14"/>
    </row>
    <row r="697" spans="2:19" ht="14.25" customHeight="1" x14ac:dyDescent="0.3">
      <c r="B697" s="5"/>
      <c r="Q697" s="13"/>
      <c r="R697" s="14"/>
      <c r="S697" s="14"/>
    </row>
    <row r="698" spans="2:19" ht="14.25" customHeight="1" x14ac:dyDescent="0.3">
      <c r="B698" s="5"/>
      <c r="Q698" s="13"/>
      <c r="R698" s="14"/>
      <c r="S698" s="14"/>
    </row>
    <row r="699" spans="2:19" ht="14.25" customHeight="1" x14ac:dyDescent="0.3">
      <c r="B699" s="5"/>
      <c r="Q699" s="13"/>
      <c r="R699" s="14"/>
      <c r="S699" s="14"/>
    </row>
    <row r="700" spans="2:19" ht="14.25" customHeight="1" x14ac:dyDescent="0.3">
      <c r="B700" s="5"/>
      <c r="Q700" s="13"/>
      <c r="R700" s="14"/>
      <c r="S700" s="14"/>
    </row>
    <row r="701" spans="2:19" ht="14.25" customHeight="1" x14ac:dyDescent="0.3">
      <c r="B701" s="5"/>
      <c r="Q701" s="13"/>
      <c r="R701" s="14"/>
      <c r="S701" s="14"/>
    </row>
    <row r="702" spans="2:19" ht="14.25" customHeight="1" x14ac:dyDescent="0.3">
      <c r="B702" s="5"/>
      <c r="Q702" s="13"/>
      <c r="R702" s="14"/>
      <c r="S702" s="14"/>
    </row>
    <row r="703" spans="2:19" ht="14.25" customHeight="1" x14ac:dyDescent="0.3">
      <c r="B703" s="5"/>
      <c r="Q703" s="13"/>
      <c r="R703" s="14"/>
      <c r="S703" s="14"/>
    </row>
    <row r="704" spans="2:19" ht="14.25" customHeight="1" x14ac:dyDescent="0.3">
      <c r="B704" s="5"/>
      <c r="Q704" s="13"/>
      <c r="R704" s="14"/>
      <c r="S704" s="14"/>
    </row>
    <row r="705" spans="2:19" ht="14.25" customHeight="1" x14ac:dyDescent="0.3">
      <c r="B705" s="5"/>
      <c r="Q705" s="13"/>
      <c r="R705" s="14"/>
      <c r="S705" s="14"/>
    </row>
    <row r="706" spans="2:19" ht="14.25" customHeight="1" x14ac:dyDescent="0.3">
      <c r="B706" s="5"/>
      <c r="Q706" s="13"/>
      <c r="R706" s="14"/>
      <c r="S706" s="14"/>
    </row>
    <row r="707" spans="2:19" ht="14.25" customHeight="1" x14ac:dyDescent="0.3">
      <c r="B707" s="5"/>
      <c r="Q707" s="13"/>
      <c r="R707" s="14"/>
      <c r="S707" s="14"/>
    </row>
    <row r="708" spans="2:19" ht="14.25" customHeight="1" x14ac:dyDescent="0.3">
      <c r="B708" s="5"/>
      <c r="Q708" s="13"/>
      <c r="R708" s="14"/>
      <c r="S708" s="14"/>
    </row>
    <row r="709" spans="2:19" ht="14.25" customHeight="1" x14ac:dyDescent="0.3">
      <c r="B709" s="5"/>
      <c r="Q709" s="13"/>
      <c r="R709" s="14"/>
      <c r="S709" s="14"/>
    </row>
    <row r="710" spans="2:19" ht="14.25" customHeight="1" x14ac:dyDescent="0.3">
      <c r="B710" s="5"/>
      <c r="Q710" s="13"/>
      <c r="R710" s="14"/>
      <c r="S710" s="14"/>
    </row>
    <row r="711" spans="2:19" ht="14.25" customHeight="1" x14ac:dyDescent="0.3">
      <c r="B711" s="5"/>
      <c r="Q711" s="13"/>
      <c r="R711" s="14"/>
      <c r="S711" s="14"/>
    </row>
    <row r="712" spans="2:19" ht="14.25" customHeight="1" x14ac:dyDescent="0.3">
      <c r="B712" s="5"/>
      <c r="Q712" s="13"/>
      <c r="R712" s="14"/>
      <c r="S712" s="14"/>
    </row>
    <row r="713" spans="2:19" ht="14.25" customHeight="1" x14ac:dyDescent="0.3">
      <c r="B713" s="5"/>
      <c r="Q713" s="13"/>
      <c r="R713" s="14"/>
      <c r="S713" s="14"/>
    </row>
    <row r="714" spans="2:19" ht="14.25" customHeight="1" x14ac:dyDescent="0.3">
      <c r="B714" s="5"/>
      <c r="Q714" s="13"/>
      <c r="R714" s="14"/>
      <c r="S714" s="14"/>
    </row>
    <row r="715" spans="2:19" ht="14.25" customHeight="1" x14ac:dyDescent="0.3">
      <c r="B715" s="5"/>
      <c r="Q715" s="13"/>
      <c r="R715" s="14"/>
      <c r="S715" s="14"/>
    </row>
    <row r="716" spans="2:19" ht="14.25" customHeight="1" x14ac:dyDescent="0.3">
      <c r="B716" s="5"/>
      <c r="Q716" s="13"/>
      <c r="R716" s="14"/>
      <c r="S716" s="14"/>
    </row>
    <row r="717" spans="2:19" ht="14.25" customHeight="1" x14ac:dyDescent="0.3">
      <c r="B717" s="5"/>
      <c r="Q717" s="13"/>
      <c r="R717" s="14"/>
      <c r="S717" s="14"/>
    </row>
    <row r="718" spans="2:19" ht="14.25" customHeight="1" x14ac:dyDescent="0.3">
      <c r="B718" s="5"/>
      <c r="Q718" s="13"/>
      <c r="R718" s="14"/>
      <c r="S718" s="14"/>
    </row>
    <row r="719" spans="2:19" ht="14.25" customHeight="1" x14ac:dyDescent="0.3">
      <c r="B719" s="5"/>
      <c r="Q719" s="13"/>
      <c r="R719" s="14"/>
      <c r="S719" s="14"/>
    </row>
    <row r="720" spans="2:19" ht="14.25" customHeight="1" x14ac:dyDescent="0.3">
      <c r="B720" s="5"/>
      <c r="Q720" s="13"/>
      <c r="R720" s="14"/>
      <c r="S720" s="14"/>
    </row>
    <row r="721" spans="2:19" ht="14.25" customHeight="1" x14ac:dyDescent="0.3">
      <c r="B721" s="5"/>
      <c r="Q721" s="13"/>
      <c r="R721" s="14"/>
      <c r="S721" s="14"/>
    </row>
    <row r="722" spans="2:19" ht="14.25" customHeight="1" x14ac:dyDescent="0.3">
      <c r="B722" s="5"/>
      <c r="Q722" s="13"/>
      <c r="R722" s="14"/>
      <c r="S722" s="14"/>
    </row>
    <row r="723" spans="2:19" ht="14.25" customHeight="1" x14ac:dyDescent="0.3">
      <c r="B723" s="5"/>
      <c r="Q723" s="13"/>
      <c r="R723" s="14"/>
      <c r="S723" s="14"/>
    </row>
    <row r="724" spans="2:19" ht="14.25" customHeight="1" x14ac:dyDescent="0.3">
      <c r="B724" s="5"/>
      <c r="Q724" s="13"/>
      <c r="R724" s="14"/>
      <c r="S724" s="14"/>
    </row>
    <row r="725" spans="2:19" ht="14.25" customHeight="1" x14ac:dyDescent="0.3">
      <c r="B725" s="5"/>
      <c r="Q725" s="13"/>
      <c r="R725" s="14"/>
      <c r="S725" s="14"/>
    </row>
    <row r="726" spans="2:19" ht="14.25" customHeight="1" x14ac:dyDescent="0.3">
      <c r="B726" s="5"/>
      <c r="Q726" s="13"/>
      <c r="R726" s="14"/>
      <c r="S726" s="14"/>
    </row>
    <row r="727" spans="2:19" ht="14.25" customHeight="1" x14ac:dyDescent="0.3">
      <c r="B727" s="5"/>
      <c r="Q727" s="13"/>
      <c r="R727" s="14"/>
      <c r="S727" s="14"/>
    </row>
    <row r="728" spans="2:19" ht="14.25" customHeight="1" x14ac:dyDescent="0.3">
      <c r="B728" s="5"/>
      <c r="Q728" s="13"/>
      <c r="R728" s="14"/>
      <c r="S728" s="14"/>
    </row>
    <row r="729" spans="2:19" ht="14.25" customHeight="1" x14ac:dyDescent="0.3">
      <c r="B729" s="5"/>
      <c r="Q729" s="13"/>
      <c r="R729" s="14"/>
      <c r="S729" s="14"/>
    </row>
    <row r="730" spans="2:19" ht="14.25" customHeight="1" x14ac:dyDescent="0.3">
      <c r="B730" s="5"/>
      <c r="Q730" s="13"/>
      <c r="R730" s="14"/>
      <c r="S730" s="14"/>
    </row>
    <row r="731" spans="2:19" ht="14.25" customHeight="1" x14ac:dyDescent="0.3">
      <c r="B731" s="5"/>
      <c r="Q731" s="13"/>
      <c r="R731" s="14"/>
      <c r="S731" s="14"/>
    </row>
    <row r="732" spans="2:19" ht="14.25" customHeight="1" x14ac:dyDescent="0.3">
      <c r="B732" s="5"/>
      <c r="Q732" s="13"/>
      <c r="R732" s="14"/>
      <c r="S732" s="14"/>
    </row>
    <row r="733" spans="2:19" ht="14.25" customHeight="1" x14ac:dyDescent="0.3">
      <c r="B733" s="5"/>
      <c r="Q733" s="13"/>
      <c r="R733" s="14"/>
      <c r="S733" s="14"/>
    </row>
    <row r="734" spans="2:19" ht="14.25" customHeight="1" x14ac:dyDescent="0.3">
      <c r="B734" s="5"/>
      <c r="Q734" s="13"/>
      <c r="R734" s="14"/>
      <c r="S734" s="14"/>
    </row>
    <row r="735" spans="2:19" ht="14.25" customHeight="1" x14ac:dyDescent="0.3">
      <c r="B735" s="5"/>
      <c r="Q735" s="13"/>
      <c r="R735" s="14"/>
      <c r="S735" s="14"/>
    </row>
    <row r="736" spans="2:19" ht="14.25" customHeight="1" x14ac:dyDescent="0.3">
      <c r="B736" s="5"/>
      <c r="Q736" s="13"/>
      <c r="R736" s="14"/>
      <c r="S736" s="14"/>
    </row>
    <row r="737" spans="2:19" ht="14.25" customHeight="1" x14ac:dyDescent="0.3">
      <c r="B737" s="5"/>
      <c r="Q737" s="13"/>
      <c r="R737" s="14"/>
      <c r="S737" s="14"/>
    </row>
    <row r="738" spans="2:19" ht="14.25" customHeight="1" x14ac:dyDescent="0.3">
      <c r="B738" s="5"/>
      <c r="Q738" s="13"/>
      <c r="R738" s="14"/>
      <c r="S738" s="14"/>
    </row>
    <row r="739" spans="2:19" ht="14.25" customHeight="1" x14ac:dyDescent="0.3">
      <c r="B739" s="5"/>
      <c r="Q739" s="13"/>
      <c r="R739" s="14"/>
      <c r="S739" s="14"/>
    </row>
    <row r="740" spans="2:19" ht="14.25" customHeight="1" x14ac:dyDescent="0.3">
      <c r="B740" s="5"/>
      <c r="Q740" s="13"/>
      <c r="R740" s="14"/>
      <c r="S740" s="14"/>
    </row>
    <row r="741" spans="2:19" ht="14.25" customHeight="1" x14ac:dyDescent="0.3">
      <c r="B741" s="5"/>
      <c r="Q741" s="13"/>
      <c r="R741" s="14"/>
      <c r="S741" s="14"/>
    </row>
    <row r="742" spans="2:19" ht="14.25" customHeight="1" x14ac:dyDescent="0.3">
      <c r="B742" s="5"/>
      <c r="Q742" s="13"/>
      <c r="R742" s="14"/>
      <c r="S742" s="14"/>
    </row>
    <row r="743" spans="2:19" ht="14.25" customHeight="1" x14ac:dyDescent="0.3">
      <c r="B743" s="5"/>
      <c r="Q743" s="13"/>
      <c r="R743" s="14"/>
      <c r="S743" s="14"/>
    </row>
    <row r="744" spans="2:19" ht="14.25" customHeight="1" x14ac:dyDescent="0.3">
      <c r="B744" s="5"/>
      <c r="Q744" s="13"/>
      <c r="R744" s="14"/>
      <c r="S744" s="14"/>
    </row>
    <row r="745" spans="2:19" ht="14.25" customHeight="1" x14ac:dyDescent="0.3">
      <c r="B745" s="5"/>
      <c r="Q745" s="13"/>
      <c r="R745" s="14"/>
      <c r="S745" s="14"/>
    </row>
    <row r="746" spans="2:19" ht="14.25" customHeight="1" x14ac:dyDescent="0.3">
      <c r="B746" s="5"/>
      <c r="Q746" s="13"/>
      <c r="R746" s="14"/>
      <c r="S746" s="14"/>
    </row>
    <row r="747" spans="2:19" ht="14.25" customHeight="1" x14ac:dyDescent="0.3">
      <c r="B747" s="5"/>
      <c r="Q747" s="13"/>
      <c r="R747" s="14"/>
      <c r="S747" s="14"/>
    </row>
    <row r="748" spans="2:19" ht="14.25" customHeight="1" x14ac:dyDescent="0.3">
      <c r="B748" s="5"/>
      <c r="Q748" s="13"/>
      <c r="R748" s="14"/>
      <c r="S748" s="14"/>
    </row>
    <row r="749" spans="2:19" ht="14.25" customHeight="1" x14ac:dyDescent="0.3">
      <c r="B749" s="5"/>
      <c r="Q749" s="13"/>
      <c r="R749" s="14"/>
      <c r="S749" s="14"/>
    </row>
    <row r="750" spans="2:19" ht="14.25" customHeight="1" x14ac:dyDescent="0.3">
      <c r="B750" s="5"/>
      <c r="Q750" s="13"/>
      <c r="R750" s="14"/>
      <c r="S750" s="14"/>
    </row>
    <row r="751" spans="2:19" ht="14.25" customHeight="1" x14ac:dyDescent="0.3">
      <c r="B751" s="5"/>
      <c r="Q751" s="13"/>
      <c r="R751" s="14"/>
      <c r="S751" s="14"/>
    </row>
    <row r="752" spans="2:19" ht="14.25" customHeight="1" x14ac:dyDescent="0.3">
      <c r="B752" s="5"/>
      <c r="Q752" s="13"/>
      <c r="R752" s="14"/>
      <c r="S752" s="14"/>
    </row>
    <row r="753" spans="2:19" ht="14.25" customHeight="1" x14ac:dyDescent="0.3">
      <c r="B753" s="5"/>
      <c r="Q753" s="13"/>
      <c r="R753" s="14"/>
      <c r="S753" s="14"/>
    </row>
    <row r="754" spans="2:19" ht="14.25" customHeight="1" x14ac:dyDescent="0.3">
      <c r="B754" s="5"/>
      <c r="Q754" s="13"/>
      <c r="R754" s="14"/>
      <c r="S754" s="14"/>
    </row>
    <row r="755" spans="2:19" ht="14.25" customHeight="1" x14ac:dyDescent="0.3">
      <c r="B755" s="5"/>
      <c r="Q755" s="13"/>
      <c r="R755" s="14"/>
      <c r="S755" s="14"/>
    </row>
    <row r="756" spans="2:19" ht="14.25" customHeight="1" x14ac:dyDescent="0.3">
      <c r="B756" s="5"/>
      <c r="Q756" s="13"/>
      <c r="R756" s="14"/>
      <c r="S756" s="14"/>
    </row>
    <row r="757" spans="2:19" ht="14.25" customHeight="1" x14ac:dyDescent="0.3">
      <c r="B757" s="5"/>
      <c r="Q757" s="13"/>
      <c r="R757" s="14"/>
      <c r="S757" s="14"/>
    </row>
    <row r="758" spans="2:19" ht="14.25" customHeight="1" x14ac:dyDescent="0.3">
      <c r="B758" s="5"/>
      <c r="Q758" s="13"/>
      <c r="R758" s="14"/>
      <c r="S758" s="14"/>
    </row>
    <row r="759" spans="2:19" ht="14.25" customHeight="1" x14ac:dyDescent="0.3">
      <c r="B759" s="5"/>
      <c r="Q759" s="13"/>
      <c r="R759" s="14"/>
      <c r="S759" s="14"/>
    </row>
    <row r="760" spans="2:19" ht="14.25" customHeight="1" x14ac:dyDescent="0.3">
      <c r="B760" s="5"/>
      <c r="Q760" s="13"/>
      <c r="R760" s="14"/>
      <c r="S760" s="14"/>
    </row>
    <row r="761" spans="2:19" ht="14.25" customHeight="1" x14ac:dyDescent="0.3">
      <c r="B761" s="5"/>
      <c r="Q761" s="13"/>
      <c r="R761" s="14"/>
      <c r="S761" s="14"/>
    </row>
    <row r="762" spans="2:19" ht="14.25" customHeight="1" x14ac:dyDescent="0.3">
      <c r="B762" s="5"/>
      <c r="Q762" s="13"/>
      <c r="R762" s="14"/>
      <c r="S762" s="14"/>
    </row>
    <row r="763" spans="2:19" ht="14.25" customHeight="1" x14ac:dyDescent="0.3">
      <c r="B763" s="5"/>
      <c r="Q763" s="13"/>
      <c r="R763" s="14"/>
      <c r="S763" s="14"/>
    </row>
    <row r="764" spans="2:19" ht="14.25" customHeight="1" x14ac:dyDescent="0.3">
      <c r="B764" s="5"/>
      <c r="Q764" s="13"/>
      <c r="R764" s="14"/>
      <c r="S764" s="14"/>
    </row>
    <row r="765" spans="2:19" ht="14.25" customHeight="1" x14ac:dyDescent="0.3">
      <c r="B765" s="5"/>
      <c r="Q765" s="13"/>
      <c r="R765" s="14"/>
      <c r="S765" s="14"/>
    </row>
    <row r="766" spans="2:19" ht="14.25" customHeight="1" x14ac:dyDescent="0.3">
      <c r="B766" s="5"/>
      <c r="Q766" s="13"/>
      <c r="R766" s="14"/>
      <c r="S766" s="14"/>
    </row>
    <row r="767" spans="2:19" ht="14.25" customHeight="1" x14ac:dyDescent="0.3">
      <c r="B767" s="5"/>
      <c r="Q767" s="13"/>
      <c r="R767" s="14"/>
      <c r="S767" s="14"/>
    </row>
    <row r="768" spans="2:19" ht="14.25" customHeight="1" x14ac:dyDescent="0.3">
      <c r="B768" s="5"/>
      <c r="Q768" s="13"/>
      <c r="R768" s="14"/>
      <c r="S768" s="14"/>
    </row>
    <row r="769" spans="2:19" ht="14.25" customHeight="1" x14ac:dyDescent="0.3">
      <c r="B769" s="5"/>
      <c r="Q769" s="13"/>
      <c r="R769" s="14"/>
      <c r="S769" s="14"/>
    </row>
    <row r="770" spans="2:19" ht="14.25" customHeight="1" x14ac:dyDescent="0.3">
      <c r="B770" s="5"/>
      <c r="Q770" s="13"/>
      <c r="R770" s="14"/>
      <c r="S770" s="14"/>
    </row>
    <row r="771" spans="2:19" ht="14.25" customHeight="1" x14ac:dyDescent="0.3">
      <c r="B771" s="5"/>
      <c r="Q771" s="13"/>
      <c r="R771" s="14"/>
      <c r="S771" s="14"/>
    </row>
    <row r="772" spans="2:19" ht="14.25" customHeight="1" x14ac:dyDescent="0.3">
      <c r="B772" s="5"/>
      <c r="Q772" s="13"/>
      <c r="R772" s="14"/>
      <c r="S772" s="14"/>
    </row>
    <row r="773" spans="2:19" ht="14.25" customHeight="1" x14ac:dyDescent="0.3">
      <c r="B773" s="5"/>
      <c r="Q773" s="13"/>
      <c r="R773" s="14"/>
      <c r="S773" s="14"/>
    </row>
    <row r="774" spans="2:19" ht="14.25" customHeight="1" x14ac:dyDescent="0.3">
      <c r="B774" s="5"/>
      <c r="Q774" s="13"/>
      <c r="R774" s="14"/>
      <c r="S774" s="14"/>
    </row>
    <row r="775" spans="2:19" ht="14.25" customHeight="1" x14ac:dyDescent="0.3">
      <c r="B775" s="5"/>
      <c r="Q775" s="13"/>
      <c r="R775" s="14"/>
      <c r="S775" s="14"/>
    </row>
    <row r="776" spans="2:19" ht="14.25" customHeight="1" x14ac:dyDescent="0.3">
      <c r="B776" s="5"/>
      <c r="Q776" s="13"/>
      <c r="R776" s="14"/>
      <c r="S776" s="14"/>
    </row>
    <row r="777" spans="2:19" ht="14.25" customHeight="1" x14ac:dyDescent="0.3">
      <c r="B777" s="5"/>
      <c r="Q777" s="13"/>
      <c r="R777" s="14"/>
      <c r="S777" s="14"/>
    </row>
    <row r="778" spans="2:19" ht="14.25" customHeight="1" x14ac:dyDescent="0.3">
      <c r="B778" s="5"/>
      <c r="Q778" s="13"/>
      <c r="R778" s="14"/>
      <c r="S778" s="14"/>
    </row>
    <row r="779" spans="2:19" ht="14.25" customHeight="1" x14ac:dyDescent="0.3">
      <c r="B779" s="5"/>
      <c r="Q779" s="13"/>
      <c r="R779" s="14"/>
      <c r="S779" s="14"/>
    </row>
    <row r="780" spans="2:19" ht="14.25" customHeight="1" x14ac:dyDescent="0.3">
      <c r="B780" s="5"/>
      <c r="Q780" s="13"/>
      <c r="R780" s="14"/>
      <c r="S780" s="14"/>
    </row>
    <row r="781" spans="2:19" ht="14.25" customHeight="1" x14ac:dyDescent="0.3">
      <c r="B781" s="5"/>
      <c r="Q781" s="13"/>
      <c r="R781" s="14"/>
      <c r="S781" s="14"/>
    </row>
    <row r="782" spans="2:19" ht="14.25" customHeight="1" x14ac:dyDescent="0.3">
      <c r="B782" s="5"/>
      <c r="Q782" s="13"/>
      <c r="R782" s="14"/>
      <c r="S782" s="14"/>
    </row>
    <row r="783" spans="2:19" ht="14.25" customHeight="1" x14ac:dyDescent="0.3">
      <c r="B783" s="5"/>
      <c r="Q783" s="13"/>
      <c r="R783" s="14"/>
      <c r="S783" s="14"/>
    </row>
    <row r="784" spans="2:19" ht="14.25" customHeight="1" x14ac:dyDescent="0.3">
      <c r="B784" s="5"/>
      <c r="Q784" s="13"/>
      <c r="R784" s="14"/>
      <c r="S784" s="14"/>
    </row>
    <row r="785" spans="2:19" ht="14.25" customHeight="1" x14ac:dyDescent="0.3">
      <c r="B785" s="5"/>
      <c r="Q785" s="13"/>
      <c r="R785" s="14"/>
      <c r="S785" s="14"/>
    </row>
    <row r="786" spans="2:19" ht="14.25" customHeight="1" x14ac:dyDescent="0.3">
      <c r="B786" s="5"/>
      <c r="Q786" s="13"/>
      <c r="R786" s="14"/>
      <c r="S786" s="14"/>
    </row>
    <row r="787" spans="2:19" ht="14.25" customHeight="1" x14ac:dyDescent="0.3">
      <c r="B787" s="5"/>
      <c r="Q787" s="13"/>
      <c r="R787" s="14"/>
      <c r="S787" s="14"/>
    </row>
    <row r="788" spans="2:19" ht="14.25" customHeight="1" x14ac:dyDescent="0.3">
      <c r="B788" s="5"/>
      <c r="Q788" s="13"/>
      <c r="R788" s="14"/>
      <c r="S788" s="14"/>
    </row>
    <row r="789" spans="2:19" ht="14.25" customHeight="1" x14ac:dyDescent="0.3">
      <c r="B789" s="5"/>
      <c r="Q789" s="13"/>
      <c r="R789" s="14"/>
      <c r="S789" s="14"/>
    </row>
    <row r="790" spans="2:19" ht="14.25" customHeight="1" x14ac:dyDescent="0.3">
      <c r="B790" s="5"/>
      <c r="Q790" s="13"/>
      <c r="R790" s="14"/>
      <c r="S790" s="14"/>
    </row>
    <row r="791" spans="2:19" ht="14.25" customHeight="1" x14ac:dyDescent="0.3">
      <c r="B791" s="5"/>
      <c r="Q791" s="13"/>
      <c r="R791" s="14"/>
      <c r="S791" s="14"/>
    </row>
    <row r="792" spans="2:19" ht="14.25" customHeight="1" x14ac:dyDescent="0.3">
      <c r="B792" s="5"/>
      <c r="Q792" s="13"/>
      <c r="R792" s="14"/>
      <c r="S792" s="14"/>
    </row>
    <row r="793" spans="2:19" ht="14.25" customHeight="1" x14ac:dyDescent="0.3">
      <c r="B793" s="5"/>
      <c r="Q793" s="13"/>
      <c r="R793" s="14"/>
      <c r="S793" s="14"/>
    </row>
    <row r="794" spans="2:19" ht="14.25" customHeight="1" x14ac:dyDescent="0.3">
      <c r="B794" s="5"/>
      <c r="Q794" s="13"/>
      <c r="R794" s="14"/>
      <c r="S794" s="14"/>
    </row>
    <row r="795" spans="2:19" ht="14.25" customHeight="1" x14ac:dyDescent="0.3">
      <c r="B795" s="5"/>
      <c r="Q795" s="13"/>
      <c r="R795" s="14"/>
      <c r="S795" s="14"/>
    </row>
    <row r="796" spans="2:19" ht="14.25" customHeight="1" x14ac:dyDescent="0.3">
      <c r="B796" s="5"/>
      <c r="Q796" s="13"/>
      <c r="R796" s="14"/>
      <c r="S796" s="14"/>
    </row>
    <row r="797" spans="2:19" ht="14.25" customHeight="1" x14ac:dyDescent="0.3">
      <c r="B797" s="5"/>
      <c r="Q797" s="13"/>
      <c r="R797" s="14"/>
      <c r="S797" s="14"/>
    </row>
    <row r="798" spans="2:19" ht="14.25" customHeight="1" x14ac:dyDescent="0.3">
      <c r="B798" s="5"/>
      <c r="Q798" s="13"/>
      <c r="R798" s="14"/>
      <c r="S798" s="14"/>
    </row>
    <row r="799" spans="2:19" ht="14.25" customHeight="1" x14ac:dyDescent="0.3">
      <c r="B799" s="5"/>
      <c r="Q799" s="13"/>
      <c r="R799" s="14"/>
      <c r="S799" s="14"/>
    </row>
    <row r="800" spans="2:19" ht="14.25" customHeight="1" x14ac:dyDescent="0.3">
      <c r="B800" s="5"/>
      <c r="Q800" s="13"/>
      <c r="R800" s="14"/>
      <c r="S800" s="14"/>
    </row>
    <row r="801" spans="2:19" ht="14.25" customHeight="1" x14ac:dyDescent="0.3">
      <c r="B801" s="5"/>
      <c r="Q801" s="13"/>
      <c r="R801" s="14"/>
      <c r="S801" s="14"/>
    </row>
    <row r="802" spans="2:19" ht="14.25" customHeight="1" x14ac:dyDescent="0.3">
      <c r="B802" s="5"/>
      <c r="Q802" s="13"/>
      <c r="R802" s="14"/>
      <c r="S802" s="14"/>
    </row>
    <row r="803" spans="2:19" ht="14.25" customHeight="1" x14ac:dyDescent="0.3">
      <c r="B803" s="5"/>
      <c r="Q803" s="13"/>
      <c r="R803" s="14"/>
      <c r="S803" s="14"/>
    </row>
    <row r="804" spans="2:19" ht="14.25" customHeight="1" x14ac:dyDescent="0.3">
      <c r="B804" s="5"/>
      <c r="Q804" s="13"/>
      <c r="R804" s="14"/>
      <c r="S804" s="14"/>
    </row>
    <row r="805" spans="2:19" ht="14.25" customHeight="1" x14ac:dyDescent="0.3">
      <c r="B805" s="5"/>
      <c r="Q805" s="13"/>
      <c r="R805" s="14"/>
      <c r="S805" s="14"/>
    </row>
    <row r="806" spans="2:19" ht="14.25" customHeight="1" x14ac:dyDescent="0.3">
      <c r="B806" s="5"/>
      <c r="Q806" s="13"/>
      <c r="R806" s="14"/>
      <c r="S806" s="14"/>
    </row>
    <row r="807" spans="2:19" ht="14.25" customHeight="1" x14ac:dyDescent="0.3">
      <c r="B807" s="5"/>
      <c r="Q807" s="13"/>
      <c r="R807" s="14"/>
      <c r="S807" s="14"/>
    </row>
    <row r="808" spans="2:19" ht="14.25" customHeight="1" x14ac:dyDescent="0.3">
      <c r="B808" s="5"/>
      <c r="Q808" s="13"/>
      <c r="R808" s="14"/>
      <c r="S808" s="14"/>
    </row>
    <row r="809" spans="2:19" ht="14.25" customHeight="1" x14ac:dyDescent="0.3">
      <c r="B809" s="5"/>
      <c r="Q809" s="13"/>
      <c r="R809" s="14"/>
      <c r="S809" s="14"/>
    </row>
    <row r="810" spans="2:19" ht="14.25" customHeight="1" x14ac:dyDescent="0.3">
      <c r="B810" s="5"/>
      <c r="Q810" s="13"/>
      <c r="R810" s="14"/>
      <c r="S810" s="14"/>
    </row>
    <row r="811" spans="2:19" ht="14.25" customHeight="1" x14ac:dyDescent="0.3">
      <c r="B811" s="5"/>
      <c r="Q811" s="13"/>
      <c r="R811" s="14"/>
      <c r="S811" s="14"/>
    </row>
    <row r="812" spans="2:19" ht="14.25" customHeight="1" x14ac:dyDescent="0.3">
      <c r="B812" s="5"/>
      <c r="Q812" s="13"/>
      <c r="R812" s="14"/>
      <c r="S812" s="14"/>
    </row>
    <row r="813" spans="2:19" ht="14.25" customHeight="1" x14ac:dyDescent="0.3">
      <c r="B813" s="5"/>
      <c r="Q813" s="13"/>
      <c r="R813" s="14"/>
      <c r="S813" s="14"/>
    </row>
    <row r="814" spans="2:19" ht="14.25" customHeight="1" x14ac:dyDescent="0.3">
      <c r="B814" s="5"/>
      <c r="Q814" s="13"/>
      <c r="R814" s="14"/>
      <c r="S814" s="14"/>
    </row>
    <row r="815" spans="2:19" ht="14.25" customHeight="1" x14ac:dyDescent="0.3">
      <c r="B815" s="5"/>
      <c r="Q815" s="13"/>
      <c r="R815" s="14"/>
      <c r="S815" s="14"/>
    </row>
    <row r="816" spans="2:19" ht="14.25" customHeight="1" x14ac:dyDescent="0.3">
      <c r="B816" s="5"/>
      <c r="Q816" s="13"/>
      <c r="R816" s="14"/>
      <c r="S816" s="14"/>
    </row>
    <row r="817" spans="2:19" ht="14.25" customHeight="1" x14ac:dyDescent="0.3">
      <c r="B817" s="5"/>
      <c r="Q817" s="13"/>
      <c r="R817" s="14"/>
      <c r="S817" s="14"/>
    </row>
    <row r="818" spans="2:19" ht="14.25" customHeight="1" x14ac:dyDescent="0.3">
      <c r="B818" s="5"/>
      <c r="Q818" s="13"/>
      <c r="R818" s="14"/>
      <c r="S818" s="14"/>
    </row>
    <row r="819" spans="2:19" ht="14.25" customHeight="1" x14ac:dyDescent="0.3">
      <c r="B819" s="5"/>
      <c r="Q819" s="13"/>
      <c r="R819" s="14"/>
      <c r="S819" s="14"/>
    </row>
    <row r="820" spans="2:19" ht="14.25" customHeight="1" x14ac:dyDescent="0.3">
      <c r="B820" s="5"/>
      <c r="Q820" s="13"/>
      <c r="R820" s="14"/>
      <c r="S820" s="14"/>
    </row>
    <row r="821" spans="2:19" ht="14.25" customHeight="1" x14ac:dyDescent="0.3">
      <c r="B821" s="5"/>
      <c r="Q821" s="13"/>
      <c r="R821" s="14"/>
      <c r="S821" s="14"/>
    </row>
    <row r="822" spans="2:19" ht="14.25" customHeight="1" x14ac:dyDescent="0.3">
      <c r="B822" s="5"/>
      <c r="Q822" s="13"/>
      <c r="R822" s="14"/>
      <c r="S822" s="14"/>
    </row>
    <row r="823" spans="2:19" ht="14.25" customHeight="1" x14ac:dyDescent="0.3">
      <c r="B823" s="5"/>
      <c r="Q823" s="13"/>
      <c r="R823" s="14"/>
      <c r="S823" s="14"/>
    </row>
    <row r="824" spans="2:19" ht="14.25" customHeight="1" x14ac:dyDescent="0.3">
      <c r="B824" s="5"/>
      <c r="Q824" s="13"/>
      <c r="R824" s="14"/>
      <c r="S824" s="14"/>
    </row>
    <row r="825" spans="2:19" ht="14.25" customHeight="1" x14ac:dyDescent="0.3">
      <c r="B825" s="5"/>
      <c r="Q825" s="13"/>
      <c r="R825" s="14"/>
      <c r="S825" s="14"/>
    </row>
    <row r="826" spans="2:19" ht="14.25" customHeight="1" x14ac:dyDescent="0.3">
      <c r="B826" s="5"/>
      <c r="Q826" s="13"/>
      <c r="R826" s="14"/>
      <c r="S826" s="14"/>
    </row>
    <row r="827" spans="2:19" ht="14.25" customHeight="1" x14ac:dyDescent="0.3">
      <c r="B827" s="5"/>
      <c r="Q827" s="13"/>
      <c r="R827" s="14"/>
      <c r="S827" s="14"/>
    </row>
    <row r="828" spans="2:19" ht="14.25" customHeight="1" x14ac:dyDescent="0.3">
      <c r="B828" s="5"/>
      <c r="Q828" s="13"/>
      <c r="R828" s="14"/>
      <c r="S828" s="14"/>
    </row>
    <row r="829" spans="2:19" ht="14.25" customHeight="1" x14ac:dyDescent="0.3">
      <c r="B829" s="5"/>
      <c r="Q829" s="13"/>
      <c r="R829" s="14"/>
      <c r="S829" s="14"/>
    </row>
    <row r="830" spans="2:19" ht="14.25" customHeight="1" x14ac:dyDescent="0.3">
      <c r="B830" s="5"/>
      <c r="Q830" s="13"/>
      <c r="R830" s="14"/>
      <c r="S830" s="14"/>
    </row>
    <row r="831" spans="2:19" ht="14.25" customHeight="1" x14ac:dyDescent="0.3">
      <c r="B831" s="5"/>
      <c r="Q831" s="13"/>
      <c r="R831" s="14"/>
      <c r="S831" s="14"/>
    </row>
    <row r="832" spans="2:19" ht="14.25" customHeight="1" x14ac:dyDescent="0.3">
      <c r="B832" s="5"/>
      <c r="Q832" s="13"/>
      <c r="R832" s="14"/>
      <c r="S832" s="14"/>
    </row>
    <row r="833" spans="2:19" ht="14.25" customHeight="1" x14ac:dyDescent="0.3">
      <c r="B833" s="5"/>
      <c r="Q833" s="13"/>
      <c r="R833" s="14"/>
      <c r="S833" s="14"/>
    </row>
    <row r="834" spans="2:19" ht="14.25" customHeight="1" x14ac:dyDescent="0.3">
      <c r="B834" s="5"/>
      <c r="Q834" s="13"/>
      <c r="R834" s="14"/>
      <c r="S834" s="14"/>
    </row>
    <row r="835" spans="2:19" ht="14.25" customHeight="1" x14ac:dyDescent="0.3">
      <c r="B835" s="5"/>
      <c r="Q835" s="13"/>
      <c r="R835" s="14"/>
      <c r="S835" s="14"/>
    </row>
    <row r="836" spans="2:19" ht="14.25" customHeight="1" x14ac:dyDescent="0.3">
      <c r="B836" s="5"/>
      <c r="Q836" s="13"/>
      <c r="R836" s="14"/>
      <c r="S836" s="14"/>
    </row>
    <row r="837" spans="2:19" ht="14.25" customHeight="1" x14ac:dyDescent="0.3">
      <c r="B837" s="5"/>
      <c r="Q837" s="13"/>
      <c r="R837" s="14"/>
      <c r="S837" s="14"/>
    </row>
    <row r="838" spans="2:19" ht="14.25" customHeight="1" x14ac:dyDescent="0.3">
      <c r="B838" s="5"/>
      <c r="Q838" s="13"/>
      <c r="R838" s="14"/>
      <c r="S838" s="14"/>
    </row>
    <row r="839" spans="2:19" ht="14.25" customHeight="1" x14ac:dyDescent="0.3">
      <c r="B839" s="5"/>
      <c r="Q839" s="13"/>
      <c r="R839" s="14"/>
      <c r="S839" s="14"/>
    </row>
    <row r="840" spans="2:19" ht="14.25" customHeight="1" x14ac:dyDescent="0.3">
      <c r="B840" s="5"/>
      <c r="Q840" s="13"/>
      <c r="R840" s="14"/>
      <c r="S840" s="14"/>
    </row>
    <row r="841" spans="2:19" ht="14.25" customHeight="1" x14ac:dyDescent="0.3">
      <c r="B841" s="5"/>
      <c r="Q841" s="13"/>
      <c r="R841" s="14"/>
      <c r="S841" s="14"/>
    </row>
    <row r="842" spans="2:19" ht="14.25" customHeight="1" x14ac:dyDescent="0.3">
      <c r="B842" s="5"/>
      <c r="Q842" s="13"/>
      <c r="R842" s="14"/>
      <c r="S842" s="14"/>
    </row>
    <row r="843" spans="2:19" ht="14.25" customHeight="1" x14ac:dyDescent="0.3">
      <c r="B843" s="5"/>
      <c r="Q843" s="13"/>
      <c r="R843" s="14"/>
      <c r="S843" s="14"/>
    </row>
    <row r="844" spans="2:19" ht="14.25" customHeight="1" x14ac:dyDescent="0.3">
      <c r="B844" s="5"/>
      <c r="Q844" s="13"/>
      <c r="R844" s="14"/>
      <c r="S844" s="14"/>
    </row>
    <row r="845" spans="2:19" ht="14.25" customHeight="1" x14ac:dyDescent="0.3">
      <c r="B845" s="5"/>
      <c r="Q845" s="13"/>
      <c r="R845" s="14"/>
      <c r="S845" s="14"/>
    </row>
    <row r="846" spans="2:19" ht="14.25" customHeight="1" x14ac:dyDescent="0.3">
      <c r="B846" s="5"/>
      <c r="Q846" s="13"/>
      <c r="R846" s="14"/>
      <c r="S846" s="14"/>
    </row>
    <row r="847" spans="2:19" ht="14.25" customHeight="1" x14ac:dyDescent="0.3">
      <c r="B847" s="5"/>
      <c r="Q847" s="13"/>
      <c r="R847" s="14"/>
      <c r="S847" s="14"/>
    </row>
    <row r="848" spans="2:19" ht="14.25" customHeight="1" x14ac:dyDescent="0.3">
      <c r="B848" s="5"/>
      <c r="Q848" s="13"/>
      <c r="R848" s="14"/>
      <c r="S848" s="14"/>
    </row>
    <row r="849" spans="2:19" ht="14.25" customHeight="1" x14ac:dyDescent="0.3">
      <c r="B849" s="5"/>
      <c r="Q849" s="13"/>
      <c r="R849" s="14"/>
      <c r="S849" s="14"/>
    </row>
    <row r="850" spans="2:19" ht="14.25" customHeight="1" x14ac:dyDescent="0.3">
      <c r="B850" s="5"/>
      <c r="Q850" s="13"/>
      <c r="R850" s="14"/>
      <c r="S850" s="14"/>
    </row>
    <row r="851" spans="2:19" ht="14.25" customHeight="1" x14ac:dyDescent="0.3">
      <c r="B851" s="5"/>
      <c r="Q851" s="13"/>
      <c r="R851" s="14"/>
      <c r="S851" s="14"/>
    </row>
    <row r="852" spans="2:19" ht="14.25" customHeight="1" x14ac:dyDescent="0.3">
      <c r="B852" s="5"/>
      <c r="Q852" s="13"/>
      <c r="R852" s="14"/>
      <c r="S852" s="14"/>
    </row>
    <row r="853" spans="2:19" ht="14.25" customHeight="1" x14ac:dyDescent="0.3">
      <c r="B853" s="5"/>
      <c r="Q853" s="13"/>
      <c r="R853" s="14"/>
      <c r="S853" s="14"/>
    </row>
    <row r="854" spans="2:19" ht="14.25" customHeight="1" x14ac:dyDescent="0.3">
      <c r="B854" s="5"/>
      <c r="Q854" s="13"/>
      <c r="R854" s="14"/>
      <c r="S854" s="14"/>
    </row>
    <row r="855" spans="2:19" ht="14.25" customHeight="1" x14ac:dyDescent="0.3">
      <c r="B855" s="5"/>
      <c r="Q855" s="13"/>
      <c r="R855" s="14"/>
      <c r="S855" s="14"/>
    </row>
    <row r="856" spans="2:19" ht="14.25" customHeight="1" x14ac:dyDescent="0.3">
      <c r="B856" s="5"/>
      <c r="Q856" s="13"/>
      <c r="R856" s="14"/>
      <c r="S856" s="14"/>
    </row>
    <row r="857" spans="2:19" ht="14.25" customHeight="1" x14ac:dyDescent="0.3">
      <c r="B857" s="5"/>
      <c r="Q857" s="13"/>
      <c r="R857" s="14"/>
      <c r="S857" s="14"/>
    </row>
    <row r="858" spans="2:19" ht="14.25" customHeight="1" x14ac:dyDescent="0.3">
      <c r="B858" s="5"/>
      <c r="Q858" s="13"/>
      <c r="R858" s="14"/>
      <c r="S858" s="14"/>
    </row>
    <row r="859" spans="2:19" ht="14.25" customHeight="1" x14ac:dyDescent="0.3">
      <c r="B859" s="5"/>
      <c r="Q859" s="13"/>
      <c r="R859" s="14"/>
      <c r="S859" s="14"/>
    </row>
    <row r="860" spans="2:19" ht="14.25" customHeight="1" x14ac:dyDescent="0.3">
      <c r="B860" s="5"/>
      <c r="Q860" s="13"/>
      <c r="R860" s="14"/>
      <c r="S860" s="14"/>
    </row>
    <row r="861" spans="2:19" ht="14.25" customHeight="1" x14ac:dyDescent="0.3">
      <c r="B861" s="5"/>
      <c r="Q861" s="13"/>
      <c r="R861" s="14"/>
      <c r="S861" s="14"/>
    </row>
    <row r="862" spans="2:19" ht="14.25" customHeight="1" x14ac:dyDescent="0.3">
      <c r="B862" s="5"/>
      <c r="Q862" s="13"/>
      <c r="R862" s="14"/>
      <c r="S862" s="14"/>
    </row>
    <row r="863" spans="2:19" ht="14.25" customHeight="1" x14ac:dyDescent="0.3">
      <c r="B863" s="5"/>
      <c r="Q863" s="13"/>
      <c r="R863" s="14"/>
      <c r="S863" s="14"/>
    </row>
    <row r="864" spans="2:19" ht="14.25" customHeight="1" x14ac:dyDescent="0.3">
      <c r="B864" s="5"/>
      <c r="Q864" s="13"/>
      <c r="R864" s="14"/>
      <c r="S864" s="14"/>
    </row>
    <row r="865" spans="2:19" ht="14.25" customHeight="1" x14ac:dyDescent="0.3">
      <c r="B865" s="5"/>
      <c r="Q865" s="13"/>
      <c r="R865" s="14"/>
      <c r="S865" s="14"/>
    </row>
    <row r="866" spans="2:19" ht="14.25" customHeight="1" x14ac:dyDescent="0.3">
      <c r="B866" s="5"/>
      <c r="Q866" s="13"/>
      <c r="R866" s="14"/>
      <c r="S866" s="14"/>
    </row>
    <row r="867" spans="2:19" ht="14.25" customHeight="1" x14ac:dyDescent="0.3">
      <c r="B867" s="5"/>
      <c r="Q867" s="13"/>
      <c r="R867" s="14"/>
      <c r="S867" s="14"/>
    </row>
    <row r="868" spans="2:19" ht="14.25" customHeight="1" x14ac:dyDescent="0.3">
      <c r="B868" s="5"/>
      <c r="Q868" s="13"/>
      <c r="R868" s="14"/>
      <c r="S868" s="14"/>
    </row>
    <row r="869" spans="2:19" ht="14.25" customHeight="1" x14ac:dyDescent="0.3">
      <c r="B869" s="5"/>
      <c r="Q869" s="13"/>
      <c r="R869" s="14"/>
      <c r="S869" s="14"/>
    </row>
    <row r="870" spans="2:19" ht="14.25" customHeight="1" x14ac:dyDescent="0.3">
      <c r="B870" s="5"/>
      <c r="Q870" s="13"/>
      <c r="R870" s="14"/>
      <c r="S870" s="14"/>
    </row>
    <row r="871" spans="2:19" ht="14.25" customHeight="1" x14ac:dyDescent="0.3">
      <c r="B871" s="5"/>
      <c r="Q871" s="13"/>
      <c r="R871" s="14"/>
      <c r="S871" s="14"/>
    </row>
    <row r="872" spans="2:19" ht="14.25" customHeight="1" x14ac:dyDescent="0.3">
      <c r="B872" s="5"/>
      <c r="Q872" s="13"/>
      <c r="R872" s="14"/>
      <c r="S872" s="14"/>
    </row>
    <row r="873" spans="2:19" ht="14.25" customHeight="1" x14ac:dyDescent="0.3">
      <c r="B873" s="5"/>
      <c r="Q873" s="13"/>
      <c r="R873" s="14"/>
      <c r="S873" s="14"/>
    </row>
    <row r="874" spans="2:19" ht="14.25" customHeight="1" x14ac:dyDescent="0.3">
      <c r="B874" s="5"/>
      <c r="Q874" s="13"/>
      <c r="R874" s="14"/>
      <c r="S874" s="14"/>
    </row>
    <row r="875" spans="2:19" ht="14.25" customHeight="1" x14ac:dyDescent="0.3">
      <c r="B875" s="5"/>
      <c r="Q875" s="13"/>
      <c r="R875" s="14"/>
      <c r="S875" s="14"/>
    </row>
    <row r="876" spans="2:19" ht="14.25" customHeight="1" x14ac:dyDescent="0.3">
      <c r="B876" s="5"/>
      <c r="Q876" s="13"/>
      <c r="R876" s="14"/>
      <c r="S876" s="14"/>
    </row>
    <row r="877" spans="2:19" ht="14.25" customHeight="1" x14ac:dyDescent="0.3">
      <c r="B877" s="5"/>
      <c r="Q877" s="13"/>
      <c r="R877" s="14"/>
      <c r="S877" s="14"/>
    </row>
    <row r="878" spans="2:19" ht="14.25" customHeight="1" x14ac:dyDescent="0.3">
      <c r="B878" s="5"/>
      <c r="Q878" s="13"/>
      <c r="R878" s="14"/>
      <c r="S878" s="14"/>
    </row>
    <row r="879" spans="2:19" ht="14.25" customHeight="1" x14ac:dyDescent="0.3">
      <c r="B879" s="5"/>
      <c r="Q879" s="13"/>
      <c r="R879" s="14"/>
      <c r="S879" s="14"/>
    </row>
    <row r="880" spans="2:19" ht="14.25" customHeight="1" x14ac:dyDescent="0.3">
      <c r="B880" s="5"/>
      <c r="Q880" s="13"/>
      <c r="R880" s="14"/>
      <c r="S880" s="14"/>
    </row>
    <row r="881" spans="2:19" ht="14.25" customHeight="1" x14ac:dyDescent="0.3">
      <c r="B881" s="5"/>
      <c r="Q881" s="13"/>
      <c r="R881" s="14"/>
      <c r="S881" s="14"/>
    </row>
    <row r="882" spans="2:19" ht="14.25" customHeight="1" x14ac:dyDescent="0.3">
      <c r="B882" s="5"/>
      <c r="Q882" s="13"/>
      <c r="R882" s="14"/>
      <c r="S882" s="14"/>
    </row>
    <row r="883" spans="2:19" ht="14.25" customHeight="1" x14ac:dyDescent="0.3">
      <c r="B883" s="5"/>
      <c r="Q883" s="13"/>
      <c r="R883" s="14"/>
      <c r="S883" s="14"/>
    </row>
    <row r="884" spans="2:19" ht="14.25" customHeight="1" x14ac:dyDescent="0.3">
      <c r="B884" s="5"/>
      <c r="Q884" s="13"/>
      <c r="R884" s="14"/>
      <c r="S884" s="14"/>
    </row>
    <row r="885" spans="2:19" ht="14.25" customHeight="1" x14ac:dyDescent="0.3">
      <c r="B885" s="5"/>
      <c r="Q885" s="13"/>
      <c r="R885" s="14"/>
      <c r="S885" s="14"/>
    </row>
    <row r="886" spans="2:19" ht="14.25" customHeight="1" x14ac:dyDescent="0.3">
      <c r="B886" s="5"/>
      <c r="Q886" s="13"/>
      <c r="R886" s="14"/>
      <c r="S886" s="14"/>
    </row>
    <row r="887" spans="2:19" ht="14.25" customHeight="1" x14ac:dyDescent="0.3">
      <c r="B887" s="5"/>
      <c r="Q887" s="13"/>
      <c r="R887" s="14"/>
      <c r="S887" s="14"/>
    </row>
    <row r="888" spans="2:19" ht="14.25" customHeight="1" x14ac:dyDescent="0.3">
      <c r="B888" s="5"/>
      <c r="Q888" s="13"/>
      <c r="R888" s="14"/>
      <c r="S888" s="14"/>
    </row>
    <row r="889" spans="2:19" ht="14.25" customHeight="1" x14ac:dyDescent="0.3">
      <c r="B889" s="5"/>
      <c r="Q889" s="13"/>
      <c r="R889" s="14"/>
      <c r="S889" s="14"/>
    </row>
    <row r="890" spans="2:19" ht="14.25" customHeight="1" x14ac:dyDescent="0.3">
      <c r="B890" s="5"/>
      <c r="Q890" s="13"/>
      <c r="R890" s="14"/>
      <c r="S890" s="14"/>
    </row>
    <row r="891" spans="2:19" ht="14.25" customHeight="1" x14ac:dyDescent="0.3">
      <c r="B891" s="5"/>
      <c r="Q891" s="13"/>
      <c r="R891" s="14"/>
      <c r="S891" s="14"/>
    </row>
    <row r="892" spans="2:19" ht="14.25" customHeight="1" x14ac:dyDescent="0.3">
      <c r="B892" s="5"/>
      <c r="Q892" s="13"/>
      <c r="R892" s="14"/>
      <c r="S892" s="14"/>
    </row>
    <row r="893" spans="2:19" ht="14.25" customHeight="1" x14ac:dyDescent="0.3">
      <c r="B893" s="5"/>
      <c r="Q893" s="13"/>
      <c r="R893" s="14"/>
      <c r="S893" s="14"/>
    </row>
    <row r="894" spans="2:19" ht="14.25" customHeight="1" x14ac:dyDescent="0.3">
      <c r="B894" s="5"/>
      <c r="Q894" s="13"/>
      <c r="R894" s="14"/>
      <c r="S894" s="14"/>
    </row>
    <row r="895" spans="2:19" ht="14.25" customHeight="1" x14ac:dyDescent="0.3">
      <c r="B895" s="5"/>
      <c r="Q895" s="13"/>
      <c r="R895" s="14"/>
      <c r="S895" s="14"/>
    </row>
    <row r="896" spans="2:19" ht="14.25" customHeight="1" x14ac:dyDescent="0.3">
      <c r="B896" s="5"/>
      <c r="Q896" s="13"/>
      <c r="R896" s="14"/>
      <c r="S896" s="14"/>
    </row>
    <row r="897" spans="2:19" ht="14.25" customHeight="1" x14ac:dyDescent="0.3">
      <c r="B897" s="5"/>
      <c r="Q897" s="13"/>
      <c r="R897" s="14"/>
      <c r="S897" s="14"/>
    </row>
    <row r="898" spans="2:19" ht="14.25" customHeight="1" x14ac:dyDescent="0.3">
      <c r="B898" s="5"/>
      <c r="Q898" s="13"/>
      <c r="R898" s="14"/>
      <c r="S898" s="14"/>
    </row>
    <row r="899" spans="2:19" ht="14.25" customHeight="1" x14ac:dyDescent="0.3">
      <c r="B899" s="5"/>
      <c r="Q899" s="13"/>
      <c r="R899" s="14"/>
      <c r="S899" s="14"/>
    </row>
    <row r="900" spans="2:19" ht="14.25" customHeight="1" x14ac:dyDescent="0.3">
      <c r="B900" s="5"/>
      <c r="Q900" s="13"/>
      <c r="R900" s="14"/>
      <c r="S900" s="14"/>
    </row>
    <row r="901" spans="2:19" ht="14.25" customHeight="1" x14ac:dyDescent="0.3">
      <c r="B901" s="5"/>
      <c r="Q901" s="13"/>
      <c r="R901" s="14"/>
      <c r="S901" s="14"/>
    </row>
    <row r="902" spans="2:19" ht="14.25" customHeight="1" x14ac:dyDescent="0.3">
      <c r="B902" s="5"/>
      <c r="Q902" s="13"/>
      <c r="R902" s="14"/>
      <c r="S902" s="14"/>
    </row>
    <row r="903" spans="2:19" ht="14.25" customHeight="1" x14ac:dyDescent="0.3"/>
    <row r="904" spans="2:19" ht="14.25" customHeight="1" x14ac:dyDescent="0.3"/>
    <row r="905" spans="2:19" ht="14.25" customHeight="1" x14ac:dyDescent="0.3"/>
    <row r="906" spans="2:19" ht="14.25" customHeight="1" x14ac:dyDescent="0.3"/>
    <row r="907" spans="2:19" ht="14.25" customHeight="1" x14ac:dyDescent="0.3"/>
    <row r="908" spans="2:19" ht="14.25" customHeight="1" x14ac:dyDescent="0.3"/>
    <row r="909" spans="2:19" ht="14.25" customHeight="1" x14ac:dyDescent="0.3"/>
    <row r="910" spans="2:19" ht="14.25" customHeight="1" x14ac:dyDescent="0.3"/>
    <row r="911" spans="2:19" ht="14.25" customHeight="1" x14ac:dyDescent="0.3"/>
    <row r="912" spans="2:19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autoFilter ref="A1:W1" xr:uid="{577FE8B3-9601-483C-BAC4-35281D6119E8}"/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ECD69-3AFC-433D-AB1B-CD2F1AEAB2A1}">
  <sheetPr codeName="Sheet1">
    <tabColor rgb="FFC55A11"/>
  </sheetPr>
  <dimension ref="A1:X6"/>
  <sheetViews>
    <sheetView tabSelected="1" workbookViewId="0">
      <selection activeCell="G7" sqref="G7"/>
    </sheetView>
  </sheetViews>
  <sheetFormatPr defaultRowHeight="14.4" x14ac:dyDescent="0.3"/>
  <cols>
    <col min="1" max="1" width="9.77734375" customWidth="1"/>
    <col min="2" max="2" width="9.5546875" bestFit="1" customWidth="1"/>
    <col min="3" max="3" width="13.109375" bestFit="1" customWidth="1"/>
    <col min="4" max="4" width="13.88671875" bestFit="1" customWidth="1"/>
    <col min="5" max="5" width="21.109375" bestFit="1" customWidth="1"/>
    <col min="6" max="6" width="9.5546875" bestFit="1" customWidth="1"/>
    <col min="7" max="7" width="11.33203125" bestFit="1" customWidth="1"/>
    <col min="8" max="8" width="15.33203125" bestFit="1" customWidth="1"/>
    <col min="9" max="9" width="17.21875" bestFit="1" customWidth="1"/>
    <col min="10" max="10" width="14.88671875" bestFit="1" customWidth="1"/>
    <col min="11" max="11" width="16.6640625" bestFit="1" customWidth="1"/>
    <col min="12" max="12" width="11.21875" bestFit="1" customWidth="1"/>
    <col min="13" max="13" width="10.33203125" bestFit="1" customWidth="1"/>
    <col min="14" max="14" width="11.44140625" customWidth="1"/>
    <col min="15" max="15" width="14" customWidth="1"/>
    <col min="16" max="16" width="8" bestFit="1" customWidth="1"/>
    <col min="17" max="17" width="5.33203125" bestFit="1" customWidth="1"/>
    <col min="18" max="18" width="11.109375" bestFit="1" customWidth="1"/>
    <col min="19" max="19" width="17.6640625" bestFit="1" customWidth="1"/>
    <col min="20" max="20" width="21.5546875" bestFit="1" customWidth="1"/>
    <col min="21" max="21" width="12.77734375" bestFit="1" customWidth="1"/>
    <col min="22" max="22" width="11.77734375" bestFit="1" customWidth="1"/>
    <col min="23" max="23" width="21.21875" customWidth="1"/>
  </cols>
  <sheetData>
    <row r="1" spans="1:24" ht="15" thickBot="1" x14ac:dyDescent="0.35">
      <c r="A1" s="39" t="s">
        <v>112</v>
      </c>
      <c r="B1" s="39"/>
      <c r="C1" s="39"/>
      <c r="D1" s="39"/>
      <c r="E1" s="39"/>
      <c r="F1" s="39"/>
      <c r="G1" s="39"/>
    </row>
    <row r="2" spans="1:24" x14ac:dyDescent="0.3">
      <c r="A2" s="34" t="s">
        <v>111</v>
      </c>
      <c r="B2" s="35" t="s">
        <v>1</v>
      </c>
      <c r="C2" s="36" t="s">
        <v>108</v>
      </c>
      <c r="D2" s="35" t="s">
        <v>109</v>
      </c>
      <c r="E2" s="37" t="s">
        <v>110</v>
      </c>
    </row>
    <row r="3" spans="1:24" ht="15" thickBot="1" x14ac:dyDescent="0.35">
      <c r="A3" s="18"/>
      <c r="B3" s="31"/>
      <c r="C3" s="21"/>
      <c r="D3" s="19"/>
      <c r="E3" s="20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x14ac:dyDescent="0.3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x14ac:dyDescent="0.3">
      <c r="A5" s="40" t="s">
        <v>113</v>
      </c>
      <c r="B5" s="40"/>
      <c r="C5" s="40"/>
      <c r="D5" s="40"/>
      <c r="E5" s="40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17.55" customHeight="1" x14ac:dyDescent="0.3">
      <c r="A6" s="7" t="s">
        <v>10</v>
      </c>
      <c r="B6" s="8" t="s">
        <v>11</v>
      </c>
      <c r="C6" s="7" t="s">
        <v>12</v>
      </c>
      <c r="D6" s="7" t="s">
        <v>13</v>
      </c>
      <c r="E6" s="9" t="s">
        <v>14</v>
      </c>
      <c r="F6" s="7" t="s">
        <v>15</v>
      </c>
      <c r="G6" s="9" t="s">
        <v>16</v>
      </c>
      <c r="H6" s="7" t="s">
        <v>17</v>
      </c>
      <c r="I6" s="9" t="s">
        <v>18</v>
      </c>
      <c r="J6" s="7" t="s">
        <v>19</v>
      </c>
      <c r="K6" s="9" t="s">
        <v>20</v>
      </c>
      <c r="L6" s="7" t="s">
        <v>21</v>
      </c>
      <c r="M6" s="7" t="s">
        <v>22</v>
      </c>
      <c r="N6" s="7" t="s">
        <v>23</v>
      </c>
      <c r="O6" s="7" t="s">
        <v>24</v>
      </c>
      <c r="P6" s="7" t="s">
        <v>25</v>
      </c>
      <c r="Q6" s="1" t="s">
        <v>26</v>
      </c>
      <c r="R6" s="10" t="s">
        <v>27</v>
      </c>
      <c r="S6" s="11" t="s">
        <v>28</v>
      </c>
      <c r="T6" s="12" t="s">
        <v>29</v>
      </c>
      <c r="U6" s="12" t="s">
        <v>30</v>
      </c>
      <c r="V6" s="16" t="s">
        <v>106</v>
      </c>
      <c r="W6" s="10" t="s">
        <v>204</v>
      </c>
      <c r="X6" s="17"/>
    </row>
  </sheetData>
  <mergeCells count="2">
    <mergeCell ref="A1:G1"/>
    <mergeCell ref="A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launch_Click">
                <anchor moveWithCells="1" sizeWithCells="1">
                  <from>
                    <xdr:col>6</xdr:col>
                    <xdr:colOff>7620</xdr:colOff>
                    <xdr:row>1</xdr:row>
                    <xdr:rowOff>0</xdr:rowOff>
                  </from>
                  <to>
                    <xdr:col>7</xdr:col>
                    <xdr:colOff>1036320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1000"/>
  <sheetViews>
    <sheetView workbookViewId="0"/>
  </sheetViews>
  <sheetFormatPr defaultColWidth="14.44140625" defaultRowHeight="15" customHeight="1" x14ac:dyDescent="0.3"/>
  <cols>
    <col min="1" max="26" width="8.77734375" customWidth="1"/>
  </cols>
  <sheetData>
    <row r="1" spans="1:1" ht="14.25" customHeight="1" x14ac:dyDescent="0.3">
      <c r="A1" s="3" t="s">
        <v>6</v>
      </c>
    </row>
    <row r="2" spans="1:1" ht="14.25" customHeight="1" x14ac:dyDescent="0.3">
      <c r="A2" s="3" t="s">
        <v>40</v>
      </c>
    </row>
    <row r="3" spans="1:1" ht="14.25" customHeight="1" x14ac:dyDescent="0.3">
      <c r="A3" s="3" t="s">
        <v>9</v>
      </c>
    </row>
    <row r="4" spans="1:1" ht="14.25" customHeight="1" x14ac:dyDescent="0.3">
      <c r="A4" s="3" t="s">
        <v>45</v>
      </c>
    </row>
    <row r="5" spans="1:1" ht="14.25" customHeight="1" x14ac:dyDescent="0.3">
      <c r="A5" s="3" t="s">
        <v>53</v>
      </c>
    </row>
    <row r="6" spans="1:1" ht="14.25" customHeight="1" x14ac:dyDescent="0.3">
      <c r="A6" s="3" t="s">
        <v>70</v>
      </c>
    </row>
    <row r="7" spans="1:1" ht="14.25" customHeight="1" x14ac:dyDescent="0.3">
      <c r="A7" s="3" t="s">
        <v>79</v>
      </c>
    </row>
    <row r="8" spans="1:1" ht="14.25" customHeight="1" x14ac:dyDescent="0.3">
      <c r="A8" s="3" t="s">
        <v>82</v>
      </c>
    </row>
    <row r="9" spans="1:1" ht="14.25" customHeight="1" x14ac:dyDescent="0.3">
      <c r="A9" s="3" t="s">
        <v>90</v>
      </c>
    </row>
    <row r="10" spans="1:1" ht="14.25" customHeight="1" x14ac:dyDescent="0.3">
      <c r="A10" s="3" t="s">
        <v>93</v>
      </c>
    </row>
    <row r="11" spans="1:1" ht="14.25" customHeight="1" x14ac:dyDescent="0.3"/>
    <row r="12" spans="1:1" ht="14.25" customHeight="1" x14ac:dyDescent="0.3"/>
    <row r="13" spans="1:1" ht="14.25" customHeight="1" x14ac:dyDescent="0.3"/>
    <row r="14" spans="1:1" ht="14.25" customHeight="1" x14ac:dyDescent="0.3"/>
    <row r="15" spans="1:1" ht="14.25" customHeight="1" x14ac:dyDescent="0.3"/>
    <row r="16" spans="1:1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1000"/>
  <sheetViews>
    <sheetView workbookViewId="0"/>
  </sheetViews>
  <sheetFormatPr defaultColWidth="14.44140625" defaultRowHeight="15" customHeight="1" x14ac:dyDescent="0.3"/>
  <cols>
    <col min="1" max="1" width="8.77734375" customWidth="1"/>
    <col min="2" max="2" width="70.44140625" customWidth="1"/>
    <col min="3" max="26" width="8.77734375" customWidth="1"/>
  </cols>
  <sheetData>
    <row r="1" spans="1:3" ht="14.25" customHeight="1" x14ac:dyDescent="0.3">
      <c r="A1" s="15"/>
      <c r="B1" s="15" t="s">
        <v>100</v>
      </c>
      <c r="C1" s="15" t="s">
        <v>101</v>
      </c>
    </row>
    <row r="2" spans="1:3" ht="14.25" customHeight="1" x14ac:dyDescent="0.3">
      <c r="A2" s="3">
        <v>1</v>
      </c>
      <c r="B2" s="3" t="s">
        <v>102</v>
      </c>
      <c r="C2" s="3" t="s">
        <v>103</v>
      </c>
    </row>
    <row r="3" spans="1:3" ht="14.25" customHeight="1" x14ac:dyDescent="0.3">
      <c r="A3" s="3">
        <v>2</v>
      </c>
      <c r="B3" s="3" t="s">
        <v>104</v>
      </c>
      <c r="C3" s="3" t="s">
        <v>105</v>
      </c>
    </row>
    <row r="4" spans="1:3" ht="14.25" customHeight="1" x14ac:dyDescent="0.3"/>
    <row r="5" spans="1:3" ht="14.25" customHeight="1" x14ac:dyDescent="0.3"/>
    <row r="6" spans="1:3" ht="14.25" customHeight="1" x14ac:dyDescent="0.3"/>
    <row r="7" spans="1:3" ht="14.25" customHeight="1" x14ac:dyDescent="0.3"/>
    <row r="8" spans="1:3" ht="14.25" customHeight="1" x14ac:dyDescent="0.3"/>
    <row r="9" spans="1:3" ht="14.25" customHeight="1" x14ac:dyDescent="0.3"/>
    <row r="10" spans="1:3" ht="14.25" customHeight="1" x14ac:dyDescent="0.3"/>
    <row r="11" spans="1:3" ht="14.25" customHeight="1" x14ac:dyDescent="0.3"/>
    <row r="12" spans="1:3" ht="14.25" customHeight="1" x14ac:dyDescent="0.3"/>
    <row r="13" spans="1:3" ht="14.25" customHeight="1" x14ac:dyDescent="0.3"/>
    <row r="14" spans="1:3" ht="14.25" customHeight="1" x14ac:dyDescent="0.3"/>
    <row r="15" spans="1:3" ht="14.25" customHeight="1" x14ac:dyDescent="0.3"/>
    <row r="16" spans="1:3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EV Tool</vt:lpstr>
      <vt:lpstr>UserformSheet</vt:lpstr>
      <vt:lpstr>Electric Car Dataset</vt:lpstr>
      <vt:lpstr>Output</vt:lpstr>
      <vt:lpstr>BodyStyle</vt:lpstr>
      <vt:lpstr>Activities Log </vt:lpstr>
      <vt:lpstr>BodyStyle</vt:lpstr>
      <vt:lpstr>Brand</vt:lpstr>
      <vt:lpstr>header_newdata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Zahra .M.K</dc:creator>
  <cp:lastModifiedBy>Students</cp:lastModifiedBy>
  <dcterms:created xsi:type="dcterms:W3CDTF">2022-04-03T17:24:20Z</dcterms:created>
  <dcterms:modified xsi:type="dcterms:W3CDTF">2022-04-23T01:57:40Z</dcterms:modified>
</cp:coreProperties>
</file>